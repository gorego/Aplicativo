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autoCompressPictures="0"/>
  <bookViews>
    <workbookView xWindow="0" yWindow="0" windowWidth="23256" windowHeight="13176" tabRatio="500" firstSheet="12" activeTab="20"/>
  </bookViews>
  <sheets>
    <sheet name="Adf_001" sheetId="1" r:id="rId1"/>
    <sheet name="Adf_002" sheetId="10" r:id="rId2"/>
    <sheet name="Adf_003" sheetId="11" r:id="rId3"/>
    <sheet name="Adf_004" sheetId="12" r:id="rId4"/>
    <sheet name="Adf_005" sheetId="13" r:id="rId5"/>
    <sheet name="Adf_006" sheetId="14" r:id="rId6"/>
    <sheet name="Adf_007" sheetId="15" r:id="rId7"/>
    <sheet name="Adf_008" sheetId="16" r:id="rId8"/>
    <sheet name="Adf_009" sheetId="17" r:id="rId9"/>
    <sheet name="Adf_010" sheetId="18" r:id="rId10"/>
    <sheet name="Adf_011" sheetId="20" r:id="rId11"/>
    <sheet name="Adf_012" sheetId="21" r:id="rId12"/>
    <sheet name="Adf_012_pg2" sheetId="22" r:id="rId13"/>
    <sheet name="Adf_013" sheetId="23" r:id="rId14"/>
    <sheet name="Adf_014" sheetId="24" r:id="rId15"/>
    <sheet name="Adf_014_pg2" sheetId="25" r:id="rId16"/>
    <sheet name="Adf_015" sheetId="26" r:id="rId17"/>
    <sheet name="Adf_016" sheetId="27" r:id="rId18"/>
    <sheet name="Adf_017" sheetId="28" r:id="rId19"/>
    <sheet name="Adf_018" sheetId="29" r:id="rId20"/>
    <sheet name="Adf_019" sheetId="30" r:id="rId21"/>
  </sheets>
  <definedNames>
    <definedName name="Actividades">#REF!</definedName>
    <definedName name="Contratistas">#REF!</definedName>
    <definedName name="Cosechador">#REF!</definedName>
    <definedName name="Equipos">#REF!</definedName>
    <definedName name="Lotes">#REF!</definedName>
    <definedName name="Motosierras">#REF!</definedName>
    <definedName name="OT">#REF!</definedName>
    <definedName name="Semanas">#REF!</definedName>
    <definedName name="Supervisores">#REF!</definedName>
    <definedName name="Trabajadores">#REF!</definedName>
    <definedName name="Tractores">#REF!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20" l="1"/>
  <c r="B10" i="20"/>
  <c r="I5" i="20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15" i="18"/>
  <c r="I5" i="18"/>
  <c r="I5" i="17"/>
  <c r="I5" i="16"/>
  <c r="I5" i="15"/>
  <c r="E10" i="17"/>
  <c r="B10" i="17"/>
  <c r="E10" i="16"/>
  <c r="B10" i="16"/>
  <c r="E10" i="15"/>
  <c r="B10" i="15"/>
  <c r="E12" i="14"/>
  <c r="B12" i="14"/>
  <c r="E12" i="13"/>
  <c r="B12" i="13"/>
  <c r="E10" i="12"/>
  <c r="B10" i="12"/>
  <c r="N7" i="14"/>
  <c r="I7" i="14"/>
  <c r="H7" i="14"/>
  <c r="I5" i="14"/>
  <c r="N7" i="13"/>
  <c r="H7" i="13"/>
  <c r="I7" i="13"/>
  <c r="I5" i="13"/>
  <c r="I5" i="12"/>
  <c r="E10" i="11"/>
  <c r="B10" i="11"/>
  <c r="I5" i="11"/>
  <c r="D14" i="1"/>
  <c r="B14" i="1"/>
  <c r="B14" i="10"/>
  <c r="D14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D18" i="10"/>
  <c r="C1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H5" i="10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D18" i="1"/>
  <c r="C18" i="1"/>
  <c r="L18" i="1"/>
  <c r="L19" i="1"/>
  <c r="L20" i="1"/>
  <c r="L21" i="1"/>
  <c r="L22" i="1"/>
  <c r="L23" i="1"/>
  <c r="L24" i="1"/>
  <c r="H5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</calcChain>
</file>

<file path=xl/sharedStrings.xml><?xml version="1.0" encoding="utf-8"?>
<sst xmlns="http://schemas.openxmlformats.org/spreadsheetml/2006/main" count="1549" uniqueCount="210">
  <si>
    <t>Lista de Asistencia Empleados Fijos</t>
  </si>
  <si>
    <t>Supervisor:</t>
  </si>
  <si>
    <t>Fecha (Lunes):</t>
  </si>
  <si>
    <t>Semana #:</t>
  </si>
  <si>
    <t>Actividad a realizar</t>
  </si>
  <si>
    <t>☐</t>
  </si>
  <si>
    <t>Informacion de Lote</t>
  </si>
  <si>
    <t>Lote:</t>
  </si>
  <si>
    <t>Area:</t>
  </si>
  <si>
    <t>Estado:</t>
  </si>
  <si>
    <t>Orden de Trabajo:</t>
  </si>
  <si>
    <t xml:space="preserve">Listado de Trabajadores </t>
  </si>
  <si>
    <t>#</t>
  </si>
  <si>
    <t>Nombre</t>
  </si>
  <si>
    <t>Cargo</t>
  </si>
  <si>
    <t>Lunes</t>
  </si>
  <si>
    <t>Martes</t>
  </si>
  <si>
    <t>Miercoles</t>
  </si>
  <si>
    <t>Jueves</t>
  </si>
  <si>
    <t>Viernes</t>
  </si>
  <si>
    <t>Sabado</t>
  </si>
  <si>
    <t>Domingo</t>
  </si>
  <si>
    <t>Total</t>
  </si>
  <si>
    <t>Cedula</t>
  </si>
  <si>
    <t>Fecha:</t>
  </si>
  <si>
    <t>Tractor</t>
  </si>
  <si>
    <t>Gasolina</t>
  </si>
  <si>
    <t>Cosechador</t>
  </si>
  <si>
    <t>Lista de Asistencia Contratistas No Permanentes</t>
  </si>
  <si>
    <t>Formato Adf-002_v3</t>
  </si>
  <si>
    <t>Formato Adf-001_v3</t>
  </si>
  <si>
    <t>Predio:</t>
  </si>
  <si>
    <t>Formato Adf-003_v1</t>
  </si>
  <si>
    <t xml:space="preserve">Control de Insumos Extracción Manual </t>
  </si>
  <si>
    <t>Detalle</t>
  </si>
  <si>
    <t>Unidad</t>
  </si>
  <si>
    <t>Cantidad</t>
  </si>
  <si>
    <t>Motosierras</t>
  </si>
  <si>
    <t>Litros</t>
  </si>
  <si>
    <t>Aceite 2T</t>
  </si>
  <si>
    <t xml:space="preserve">Aceite de Cadena </t>
  </si>
  <si>
    <t>Cadenas</t>
  </si>
  <si>
    <t>Limas</t>
  </si>
  <si>
    <t>Bomba de Espalda</t>
  </si>
  <si>
    <t xml:space="preserve">Quimico </t>
  </si>
  <si>
    <t>Machetes</t>
  </si>
  <si>
    <t>Guantes</t>
  </si>
  <si>
    <t>Lentes</t>
  </si>
  <si>
    <t>Tractor + Trailer Sencillo</t>
  </si>
  <si>
    <t>Tractor +  Trailer Forestal</t>
  </si>
  <si>
    <t>Formato Adf-004_v2</t>
  </si>
  <si>
    <t xml:space="preserve">Control de Insumos Extracción Mecánica </t>
  </si>
  <si>
    <t>Gasolina (Ms)</t>
  </si>
  <si>
    <t>Aceite 2T (Ms)</t>
  </si>
  <si>
    <t>Aceite de Cadena (Ms)</t>
  </si>
  <si>
    <t>Cadenas (Ms)</t>
  </si>
  <si>
    <t>Limas (Ms)</t>
  </si>
  <si>
    <t>Control de Cosechador</t>
  </si>
  <si>
    <t>Control Insumos</t>
  </si>
  <si>
    <t>Horas</t>
  </si>
  <si>
    <t>Combustible Cosechador</t>
  </si>
  <si>
    <t>Aceite Hyd</t>
  </si>
  <si>
    <t>Aceite Motor</t>
  </si>
  <si>
    <t>Espadas</t>
  </si>
  <si>
    <t>Reporte de Daños</t>
  </si>
  <si>
    <t xml:space="preserve">Descripcion </t>
  </si>
  <si>
    <t>Mangueras</t>
  </si>
  <si>
    <t>Filtro Combustible</t>
  </si>
  <si>
    <t>Llantas</t>
  </si>
  <si>
    <t>Otro</t>
  </si>
  <si>
    <t>Equipo:</t>
  </si>
  <si>
    <t>(# Interno)</t>
  </si>
  <si>
    <t>Referencia Equipo:</t>
  </si>
  <si>
    <t>Ultimo Mantenimiento:</t>
  </si>
  <si>
    <t>ha</t>
  </si>
  <si>
    <t>Control de Equipo</t>
  </si>
  <si>
    <t>Combustible Equipo</t>
  </si>
  <si>
    <t>Aceite Hyd - Caja</t>
  </si>
  <si>
    <t>Descripcion:</t>
  </si>
  <si>
    <t>Formato Adf-007_v1</t>
  </si>
  <si>
    <t>Producción Diaria - Extraccion Manual</t>
  </si>
  <si>
    <t>Recorridos</t>
  </si>
  <si>
    <t>Equipo Ms:</t>
  </si>
  <si>
    <t xml:space="preserve">Equipo: </t>
  </si>
  <si>
    <t>Formato Adf-008_v1</t>
  </si>
  <si>
    <t>Producción Diaria - Extraccion Mecanica</t>
  </si>
  <si>
    <t>Equipo Cs:</t>
  </si>
  <si>
    <t xml:space="preserve">Equipo Tr: </t>
  </si>
  <si>
    <t>Equipo Tr:</t>
  </si>
  <si>
    <t>Formato Adf-009_v1</t>
  </si>
  <si>
    <t>Control de Insumos Recoleccion de Semilla</t>
  </si>
  <si>
    <t>Semilla Melina</t>
  </si>
  <si>
    <t>Kg</t>
  </si>
  <si>
    <t>Semilla Teca</t>
  </si>
  <si>
    <t>Semilla Eucalipto</t>
  </si>
  <si>
    <t>Semilla Otra:___________</t>
  </si>
  <si>
    <t>Sacos</t>
  </si>
  <si>
    <t xml:space="preserve">Lista de Compra de Semilla </t>
  </si>
  <si>
    <t xml:space="preserve">Listado de Vendedores </t>
  </si>
  <si>
    <t>Cantidad Kg Recibidos</t>
  </si>
  <si>
    <t>Consecutivo:</t>
  </si>
  <si>
    <t>Motosierra (Ms)</t>
  </si>
  <si>
    <t xml:space="preserve">Gal </t>
  </si>
  <si>
    <t>Gal</t>
  </si>
  <si>
    <t>Arboles</t>
  </si>
  <si>
    <t>En las casillas de los equipos se seleccionan los equipos, estos estan asociados a los operarios que los usan, de este modo se puede guardar la info para analizar a los operarios</t>
  </si>
  <si>
    <t>Formato Adf-011_v1</t>
  </si>
  <si>
    <t>Control de Actividades Semanal</t>
  </si>
  <si>
    <t>Transferencia No:</t>
  </si>
  <si>
    <t>Informacion Basica</t>
  </si>
  <si>
    <t>Lote No:</t>
  </si>
  <si>
    <t>Orden de Trabajo No:</t>
  </si>
  <si>
    <t>Nombre del Lote:</t>
  </si>
  <si>
    <t xml:space="preserve">Tipo del Material </t>
  </si>
  <si>
    <t xml:space="preserve">Corriente: </t>
  </si>
  <si>
    <t xml:space="preserve">FSC: </t>
  </si>
  <si>
    <t>Certificado No:</t>
  </si>
  <si>
    <t xml:space="preserve">Especie: </t>
  </si>
  <si>
    <t>Melina</t>
  </si>
  <si>
    <t>Teca</t>
  </si>
  <si>
    <t>Otro:</t>
  </si>
  <si>
    <t>Formato de Transferencia de Material a Aserradero FCTH</t>
  </si>
  <si>
    <t>Motivo de Raleo</t>
  </si>
  <si>
    <t>Entresaca:</t>
  </si>
  <si>
    <t>Tala Raza:</t>
  </si>
  <si>
    <t>Recuperacion de Material:</t>
  </si>
  <si>
    <t>Material Transportado</t>
  </si>
  <si>
    <t>Diametro 1</t>
  </si>
  <si>
    <t>Diametro 2</t>
  </si>
  <si>
    <t>Largo</t>
  </si>
  <si>
    <t>Transportado Por</t>
  </si>
  <si>
    <t>Equipo :</t>
  </si>
  <si>
    <t>Conductor:</t>
  </si>
  <si>
    <t>Cedula:</t>
  </si>
  <si>
    <t>Recibido Por:</t>
  </si>
  <si>
    <t xml:space="preserve">Nombre: </t>
  </si>
  <si>
    <t>Formato Adf-012_pagina 2</t>
  </si>
  <si>
    <t>Formato Adf-012_v1_pagina1</t>
  </si>
  <si>
    <t>Nombre:</t>
  </si>
  <si>
    <t>Referencia Trailer</t>
  </si>
  <si>
    <t>Farmi Primero 9000</t>
  </si>
  <si>
    <t>Formato Adf-013_v1</t>
  </si>
  <si>
    <t>Pfanzelt 15100</t>
  </si>
  <si>
    <t>Diametro Promedio:</t>
  </si>
  <si>
    <t>Largo de Piezas:</t>
  </si>
  <si>
    <t>Cantidad de Piezas:</t>
  </si>
  <si>
    <t>Volumen Calculado:</t>
  </si>
  <si>
    <t>Formato Adf-014_v1_pagina1</t>
  </si>
  <si>
    <t>Remision de Material</t>
  </si>
  <si>
    <t>Datos del Cliente</t>
  </si>
  <si>
    <t>Nombre o Razon Social:</t>
  </si>
  <si>
    <t>Nit / Cedula:</t>
  </si>
  <si>
    <t>Dirección:</t>
  </si>
  <si>
    <t>Ciudad:</t>
  </si>
  <si>
    <t>Telefono:</t>
  </si>
  <si>
    <t>Cargo:</t>
  </si>
  <si>
    <t>Formato Adf-014_pagina 2</t>
  </si>
  <si>
    <t>Remision No:</t>
  </si>
  <si>
    <t>Formato Adf-015_v1</t>
  </si>
  <si>
    <t>Camion 600</t>
  </si>
  <si>
    <t>Camion Doble Troque</t>
  </si>
  <si>
    <t>Tractomula</t>
  </si>
  <si>
    <t>Referencia Transporte</t>
  </si>
  <si>
    <t>Remision de Material Estandar</t>
  </si>
  <si>
    <t>Formato de Transferencia de Material a Aserradero FCTH Estandar</t>
  </si>
  <si>
    <t>Formato Adf-006_v2</t>
  </si>
  <si>
    <t>Reporte de Producción</t>
  </si>
  <si>
    <t>Formato Adf-005_v2</t>
  </si>
  <si>
    <t>La unidad Corresponde lo que el equipo hace, es decir contabiliza los arboles, recoridos o m3 que este transporta o corta</t>
  </si>
  <si>
    <t>Especie Recogida</t>
  </si>
  <si>
    <t>Formato Adf-010_v2</t>
  </si>
  <si>
    <t>Mantenimientos TigerCat</t>
  </si>
  <si>
    <t>Horometro:___________</t>
  </si>
  <si>
    <t>Fecha (dia/mes/año):__________</t>
  </si>
  <si>
    <t>Codigo de Equipo:</t>
  </si>
  <si>
    <t>Realizado por:</t>
  </si>
  <si>
    <t>Motor</t>
  </si>
  <si>
    <t>X</t>
  </si>
  <si>
    <t>Cambio Aceite</t>
  </si>
  <si>
    <t>Cambio Filtro Primario Aire</t>
  </si>
  <si>
    <t>Cambio Filtro Aceite</t>
  </si>
  <si>
    <t>Cambio Filtro Secundario Aire</t>
  </si>
  <si>
    <t>Cambio Liquido Refrigerante</t>
  </si>
  <si>
    <t>Cambio Separador de Agua</t>
  </si>
  <si>
    <t>Cambio Filtro Refrigerante</t>
  </si>
  <si>
    <t>Cambio Filtro Combustible</t>
  </si>
  <si>
    <t>Sistema Hidraulico</t>
  </si>
  <si>
    <t>Cambio Filtro Aceite 4</t>
  </si>
  <si>
    <t>Cambio Filtro Aceite 1</t>
  </si>
  <si>
    <t>Cambio Filtro Aceite 2</t>
  </si>
  <si>
    <t>Cambio Filtro Aceite 3</t>
  </si>
  <si>
    <t>Diferenciales, Caja, Caja de Bombas Hyd</t>
  </si>
  <si>
    <t>Cambio Aceite Caja de Bombas</t>
  </si>
  <si>
    <t>Cambio Aceite Transmision</t>
  </si>
  <si>
    <t>Cambio Aceite Diferencial Del</t>
  </si>
  <si>
    <t>Cambio Aceite Diferencial Tra</t>
  </si>
  <si>
    <t>Adicional</t>
  </si>
  <si>
    <t>Mantenimientos Cosechador John Deere</t>
  </si>
  <si>
    <t>Cambio Filtro Tanque</t>
  </si>
  <si>
    <t>Cambio Filtro Transmisión</t>
  </si>
  <si>
    <t>Mantenimientos Generales</t>
  </si>
  <si>
    <t>Cambio Filtro Hidaulico</t>
  </si>
  <si>
    <t>Formato Adf-019_v1</t>
  </si>
  <si>
    <t>Formato de Control General</t>
  </si>
  <si>
    <t>Actividad Realizada:</t>
  </si>
  <si>
    <t>Descripción:</t>
  </si>
  <si>
    <t>Descripción</t>
  </si>
  <si>
    <t>Valor Unitario</t>
  </si>
  <si>
    <t>Información de Actividad</t>
  </si>
  <si>
    <t>Información Basica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</si>
</sst>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#,###"/>
  </numFmts>
  <fonts count="2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ＭＳ ゴシック"/>
      <family val="2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b/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2"/>
      <color rgb="FF000000"/>
      <name val="ＭＳ ゴシック"/>
      <family val="2"/>
    </font>
    <font>
      <b/>
      <i/>
      <sz val="11"/>
      <color theme="0" tint="-0.34998626667073579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rgb="FF000000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/>
      <top style="medium">
        <color auto="1"/>
      </top>
      <bottom/>
      <diagonal/>
    </border>
    <border>
      <left style="medium">
        <color rgb="FF000000"/>
      </left>
      <right style="thin">
        <color auto="1"/>
      </right>
      <top style="medium">
        <color auto="1"/>
      </top>
      <bottom/>
      <diagonal/>
    </border>
    <border>
      <left style="medium">
        <color rgb="FF00000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</borders>
  <cellStyleXfs count="274">
    <xf numFmtId="0" fontId="0" fillId="0" borderId="0"/>
    <xf numFmtId="0" fontId="7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39">
    <xf numFmtId="0" fontId="0" fillId="0" borderId="0" xfId="0"/>
    <xf numFmtId="0" fontId="3" fillId="0" borderId="0" xfId="0" applyFont="1" applyAlignment="1">
      <alignment vertical="center"/>
    </xf>
    <xf numFmtId="0" fontId="0" fillId="0" borderId="0" xfId="0" applyBorder="1"/>
    <xf numFmtId="0" fontId="1" fillId="0" borderId="0" xfId="0" applyFont="1"/>
    <xf numFmtId="0" fontId="0" fillId="0" borderId="1" xfId="0" applyBorder="1"/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1" fillId="0" borderId="2" xfId="0" applyFont="1" applyBorder="1" applyAlignment="1"/>
    <xf numFmtId="0" fontId="1" fillId="0" borderId="3" xfId="0" applyFont="1" applyBorder="1" applyAlignme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0" fillId="0" borderId="8" xfId="0" applyBorder="1"/>
    <xf numFmtId="0" fontId="1" fillId="0" borderId="2" xfId="0" applyFont="1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0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11" fillId="0" borderId="0" xfId="0" applyFont="1"/>
    <xf numFmtId="0" fontId="0" fillId="0" borderId="23" xfId="0" applyBorder="1" applyAlignment="1">
      <alignment horizontal="center"/>
    </xf>
    <xf numFmtId="0" fontId="5" fillId="0" borderId="21" xfId="0" applyFon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5" xfId="0" applyFont="1" applyBorder="1" applyAlignment="1"/>
    <xf numFmtId="0" fontId="1" fillId="0" borderId="0" xfId="0" applyFont="1" applyBorder="1" applyAlignment="1"/>
    <xf numFmtId="164" fontId="0" fillId="0" borderId="24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1" fillId="0" borderId="5" xfId="0" applyFont="1" applyBorder="1"/>
    <xf numFmtId="0" fontId="1" fillId="0" borderId="5" xfId="0" applyFont="1" applyFill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4" fillId="0" borderId="2" xfId="0" applyFont="1" applyBorder="1"/>
    <xf numFmtId="0" fontId="4" fillId="0" borderId="3" xfId="0" applyFont="1" applyBorder="1"/>
    <xf numFmtId="0" fontId="11" fillId="0" borderId="3" xfId="0" applyFont="1" applyBorder="1"/>
    <xf numFmtId="0" fontId="11" fillId="0" borderId="4" xfId="0" applyFont="1" applyBorder="1"/>
    <xf numFmtId="0" fontId="4" fillId="0" borderId="5" xfId="0" applyFont="1" applyBorder="1"/>
    <xf numFmtId="0" fontId="11" fillId="0" borderId="6" xfId="0" applyFont="1" applyBorder="1"/>
    <xf numFmtId="0" fontId="4" fillId="0" borderId="5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1" xfId="0" applyFont="1" applyBorder="1"/>
    <xf numFmtId="0" fontId="4" fillId="0" borderId="1" xfId="0" applyFont="1" applyBorder="1"/>
    <xf numFmtId="0" fontId="11" fillId="0" borderId="8" xfId="0" applyFont="1" applyBorder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11" fillId="0" borderId="0" xfId="0" applyFont="1" applyBorder="1"/>
    <xf numFmtId="0" fontId="0" fillId="0" borderId="40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0" borderId="41" xfId="0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42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/>
    <xf numFmtId="14" fontId="1" fillId="0" borderId="1" xfId="0" applyNumberFormat="1" applyFont="1" applyBorder="1" applyAlignment="1"/>
    <xf numFmtId="0" fontId="4" fillId="0" borderId="0" xfId="0" applyFont="1" applyBorder="1"/>
    <xf numFmtId="0" fontId="0" fillId="0" borderId="23" xfId="0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43" xfId="0" applyBorder="1" applyAlignment="1">
      <alignment vertical="center"/>
    </xf>
    <xf numFmtId="0" fontId="11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11" fillId="0" borderId="40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/>
    </xf>
    <xf numFmtId="0" fontId="11" fillId="0" borderId="50" xfId="0" applyFont="1" applyBorder="1" applyAlignment="1">
      <alignment vertical="center"/>
    </xf>
    <xf numFmtId="0" fontId="11" fillId="0" borderId="37" xfId="0" applyFont="1" applyBorder="1" applyAlignment="1">
      <alignment horizontal="center"/>
    </xf>
    <xf numFmtId="0" fontId="11" fillId="0" borderId="55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1" fillId="0" borderId="39" xfId="0" applyFont="1" applyBorder="1" applyAlignment="1">
      <alignment vertical="center"/>
    </xf>
    <xf numFmtId="0" fontId="11" fillId="0" borderId="43" xfId="0" applyFont="1" applyBorder="1" applyAlignment="1">
      <alignment horizontal="center"/>
    </xf>
    <xf numFmtId="0" fontId="15" fillId="0" borderId="3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55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14" fontId="1" fillId="0" borderId="0" xfId="0" applyNumberFormat="1" applyFont="1" applyBorder="1" applyAlignment="1"/>
    <xf numFmtId="14" fontId="0" fillId="0" borderId="0" xfId="0" applyNumberFormat="1" applyBorder="1" applyAlignment="1"/>
    <xf numFmtId="0" fontId="1" fillId="0" borderId="0" xfId="0" applyFont="1" applyBorder="1"/>
    <xf numFmtId="0" fontId="16" fillId="0" borderId="0" xfId="0" applyFont="1" applyBorder="1"/>
    <xf numFmtId="0" fontId="4" fillId="0" borderId="44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1" fillId="0" borderId="39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0" xfId="0" applyBorder="1" applyAlignment="1"/>
    <xf numFmtId="0" fontId="4" fillId="0" borderId="1" xfId="0" applyFont="1" applyBorder="1" applyAlignment="1">
      <alignment horizontal="left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5" fillId="0" borderId="31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65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2" fillId="0" borderId="0" xfId="0" applyFont="1" applyAlignment="1"/>
    <xf numFmtId="0" fontId="1" fillId="0" borderId="9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4" fillId="0" borderId="0" xfId="0" applyFont="1" applyAlignment="1">
      <alignment vertical="center"/>
    </xf>
    <xf numFmtId="0" fontId="0" fillId="0" borderId="71" xfId="0" applyBorder="1" applyAlignment="1">
      <alignment horizontal="center"/>
    </xf>
    <xf numFmtId="0" fontId="5" fillId="0" borderId="72" xfId="0" applyFont="1" applyBorder="1" applyAlignment="1">
      <alignment horizontal="center" vertical="center"/>
    </xf>
    <xf numFmtId="0" fontId="0" fillId="0" borderId="72" xfId="0" applyBorder="1" applyAlignment="1">
      <alignment vertical="center"/>
    </xf>
    <xf numFmtId="0" fontId="0" fillId="0" borderId="71" xfId="0" applyBorder="1" applyAlignment="1">
      <alignment vertical="center"/>
    </xf>
    <xf numFmtId="0" fontId="0" fillId="0" borderId="43" xfId="0" applyFill="1" applyBorder="1" applyAlignment="1">
      <alignment horizontal="center"/>
    </xf>
    <xf numFmtId="0" fontId="0" fillId="0" borderId="24" xfId="0" applyBorder="1" applyAlignment="1"/>
    <xf numFmtId="0" fontId="0" fillId="0" borderId="43" xfId="0" applyBorder="1" applyAlignment="1"/>
    <xf numFmtId="0" fontId="0" fillId="0" borderId="25" xfId="0" applyBorder="1" applyAlignment="1"/>
    <xf numFmtId="0" fontId="0" fillId="0" borderId="41" xfId="0" applyBorder="1" applyAlignment="1"/>
    <xf numFmtId="0" fontId="0" fillId="0" borderId="25" xfId="0" applyBorder="1"/>
    <xf numFmtId="0" fontId="0" fillId="0" borderId="41" xfId="0" applyBorder="1"/>
    <xf numFmtId="0" fontId="0" fillId="0" borderId="26" xfId="0" applyBorder="1"/>
    <xf numFmtId="0" fontId="0" fillId="0" borderId="42" xfId="0" applyBorder="1"/>
    <xf numFmtId="0" fontId="1" fillId="0" borderId="19" xfId="0" applyFont="1" applyBorder="1" applyAlignment="1">
      <alignment vertical="center"/>
    </xf>
    <xf numFmtId="0" fontId="1" fillId="0" borderId="64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1" fillId="0" borderId="22" xfId="0" applyFont="1" applyBorder="1" applyAlignment="1"/>
    <xf numFmtId="0" fontId="1" fillId="0" borderId="73" xfId="0" applyFont="1" applyBorder="1" applyAlignment="1"/>
    <xf numFmtId="0" fontId="1" fillId="0" borderId="19" xfId="0" applyFont="1" applyBorder="1" applyAlignment="1"/>
    <xf numFmtId="0" fontId="1" fillId="0" borderId="64" xfId="0" applyFont="1" applyBorder="1" applyAlignment="1"/>
    <xf numFmtId="0" fontId="1" fillId="0" borderId="20" xfId="0" applyFont="1" applyBorder="1" applyAlignment="1"/>
    <xf numFmtId="0" fontId="1" fillId="0" borderId="74" xfId="0" applyFont="1" applyBorder="1" applyAlignment="1"/>
    <xf numFmtId="0" fontId="1" fillId="0" borderId="7" xfId="0" applyFont="1" applyFill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0" fontId="1" fillId="0" borderId="36" xfId="0" applyFont="1" applyFill="1" applyBorder="1" applyAlignment="1">
      <alignment horizontal="center"/>
    </xf>
    <xf numFmtId="0" fontId="0" fillId="0" borderId="43" xfId="0" applyBorder="1"/>
    <xf numFmtId="0" fontId="5" fillId="0" borderId="24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164" fontId="0" fillId="0" borderId="43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0" fontId="0" fillId="0" borderId="52" xfId="0" applyBorder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1" fillId="0" borderId="3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77" xfId="0" applyFont="1" applyBorder="1" applyAlignment="1">
      <alignment vertical="center"/>
    </xf>
    <xf numFmtId="0" fontId="1" fillId="0" borderId="50" xfId="0" applyFont="1" applyBorder="1" applyAlignment="1">
      <alignment vertical="center"/>
    </xf>
    <xf numFmtId="0" fontId="1" fillId="2" borderId="0" xfId="0" applyFont="1" applyFill="1"/>
    <xf numFmtId="0" fontId="0" fillId="2" borderId="0" xfId="0" applyFill="1"/>
    <xf numFmtId="0" fontId="1" fillId="0" borderId="2" xfId="0" applyFont="1" applyBorder="1" applyAlignment="1">
      <alignment vertical="center"/>
    </xf>
    <xf numFmtId="0" fontId="5" fillId="0" borderId="0" xfId="0" applyFont="1" applyBorder="1"/>
    <xf numFmtId="0" fontId="0" fillId="0" borderId="7" xfId="0" applyBorder="1"/>
    <xf numFmtId="0" fontId="0" fillId="0" borderId="32" xfId="0" applyBorder="1"/>
    <xf numFmtId="0" fontId="0" fillId="0" borderId="1" xfId="0" applyBorder="1" applyAlignment="1">
      <alignment horizontal="right"/>
    </xf>
    <xf numFmtId="0" fontId="1" fillId="0" borderId="2" xfId="0" applyFont="1" applyFill="1" applyBorder="1"/>
    <xf numFmtId="0" fontId="8" fillId="0" borderId="0" xfId="0" applyFont="1" applyAlignment="1">
      <alignment vertical="center"/>
    </xf>
    <xf numFmtId="0" fontId="12" fillId="0" borderId="0" xfId="0" applyFont="1" applyAlignment="1"/>
    <xf numFmtId="0" fontId="1" fillId="0" borderId="16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0" fillId="0" borderId="0" xfId="0" applyFill="1" applyBorder="1"/>
    <xf numFmtId="0" fontId="1" fillId="0" borderId="3" xfId="0" applyFont="1" applyBorder="1"/>
    <xf numFmtId="0" fontId="4" fillId="0" borderId="30" xfId="0" applyFont="1" applyBorder="1" applyAlignment="1">
      <alignment horizontal="center"/>
    </xf>
    <xf numFmtId="0" fontId="4" fillId="0" borderId="79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0" fillId="0" borderId="16" xfId="0" applyBorder="1"/>
    <xf numFmtId="0" fontId="4" fillId="0" borderId="23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18" xfId="0" applyBorder="1"/>
    <xf numFmtId="0" fontId="4" fillId="0" borderId="18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1" fillId="0" borderId="78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" fillId="0" borderId="1" xfId="0" applyFont="1" applyBorder="1" applyAlignment="1"/>
    <xf numFmtId="0" fontId="0" fillId="0" borderId="0" xfId="0" applyFont="1" applyBorder="1" applyAlignment="1"/>
    <xf numFmtId="0" fontId="0" fillId="0" borderId="0" xfId="0" applyFont="1" applyBorder="1"/>
    <xf numFmtId="0" fontId="5" fillId="0" borderId="5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63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2" borderId="1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8" fillId="0" borderId="0" xfId="0" applyFont="1"/>
    <xf numFmtId="0" fontId="18" fillId="0" borderId="0" xfId="0" applyFont="1"/>
    <xf numFmtId="0" fontId="8" fillId="0" borderId="0" xfId="0" applyFont="1" applyAlignment="1">
      <alignment horizontal="left"/>
    </xf>
    <xf numFmtId="0" fontId="1" fillId="0" borderId="11" xfId="0" applyFont="1" applyBorder="1"/>
    <xf numFmtId="0" fontId="0" fillId="0" borderId="29" xfId="0" applyBorder="1"/>
    <xf numFmtId="0" fontId="0" fillId="0" borderId="24" xfId="0" applyBorder="1"/>
    <xf numFmtId="0" fontId="0" fillId="0" borderId="80" xfId="0" applyBorder="1"/>
    <xf numFmtId="0" fontId="0" fillId="0" borderId="68" xfId="0" applyBorder="1"/>
    <xf numFmtId="0" fontId="0" fillId="0" borderId="72" xfId="0" applyBorder="1"/>
    <xf numFmtId="0" fontId="8" fillId="0" borderId="9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0" borderId="0" xfId="0" applyAlignment="1"/>
    <xf numFmtId="0" fontId="0" fillId="0" borderId="21" xfId="0" applyBorder="1" applyAlignment="1">
      <alignment horizontal="center"/>
    </xf>
    <xf numFmtId="0" fontId="1" fillId="0" borderId="35" xfId="0" applyFont="1" applyBorder="1" applyAlignment="1">
      <alignment vertical="center"/>
    </xf>
    <xf numFmtId="0" fontId="0" fillId="0" borderId="47" xfId="0" applyBorder="1"/>
    <xf numFmtId="0" fontId="0" fillId="0" borderId="36" xfId="0" applyBorder="1"/>
    <xf numFmtId="0" fontId="0" fillId="0" borderId="62" xfId="0" applyBorder="1"/>
    <xf numFmtId="0" fontId="0" fillId="0" borderId="67" xfId="0" applyBorder="1"/>
    <xf numFmtId="0" fontId="0" fillId="0" borderId="77" xfId="0" applyBorder="1"/>
    <xf numFmtId="0" fontId="0" fillId="0" borderId="50" xfId="0" applyBorder="1"/>
    <xf numFmtId="0" fontId="1" fillId="0" borderId="83" xfId="0" applyFont="1" applyFill="1" applyBorder="1"/>
    <xf numFmtId="0" fontId="0" fillId="0" borderId="84" xfId="0" applyBorder="1"/>
    <xf numFmtId="0" fontId="0" fillId="0" borderId="38" xfId="0" applyBorder="1"/>
    <xf numFmtId="0" fontId="0" fillId="0" borderId="44" xfId="0" applyBorder="1"/>
    <xf numFmtId="0" fontId="0" fillId="0" borderId="39" xfId="0" applyBorder="1"/>
    <xf numFmtId="0" fontId="1" fillId="0" borderId="1" xfId="0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right"/>
    </xf>
    <xf numFmtId="0" fontId="1" fillId="0" borderId="34" xfId="0" applyFont="1" applyFill="1" applyBorder="1" applyAlignment="1">
      <alignment horizontal="center" vertical="center"/>
    </xf>
    <xf numFmtId="0" fontId="1" fillId="0" borderId="37" xfId="0" applyFont="1" applyFill="1" applyBorder="1" applyAlignment="1">
      <alignment horizontal="center" vertical="center"/>
    </xf>
    <xf numFmtId="0" fontId="1" fillId="0" borderId="35" xfId="0" applyFont="1" applyFill="1" applyBorder="1" applyAlignment="1">
      <alignment horizontal="center" vertical="center"/>
    </xf>
    <xf numFmtId="0" fontId="1" fillId="0" borderId="36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1" fillId="0" borderId="39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3" fillId="0" borderId="0" xfId="0" applyFont="1" applyAlignment="1">
      <alignment horizontal="right"/>
    </xf>
    <xf numFmtId="0" fontId="14" fillId="0" borderId="0" xfId="0" applyFont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57" xfId="0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0" fontId="4" fillId="0" borderId="45" xfId="0" applyFont="1" applyFill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4" fillId="0" borderId="44" xfId="0" applyFont="1" applyBorder="1" applyAlignment="1">
      <alignment horizontal="left"/>
    </xf>
    <xf numFmtId="0" fontId="4" fillId="0" borderId="35" xfId="0" applyFont="1" applyFill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56" xfId="0" applyFont="1" applyFill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1" fillId="0" borderId="52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62" xfId="0" applyFont="1" applyBorder="1" applyAlignment="1">
      <alignment horizontal="center" vertical="center"/>
    </xf>
    <xf numFmtId="0" fontId="1" fillId="0" borderId="6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1" fillId="0" borderId="44" xfId="0" applyFont="1" applyFill="1" applyBorder="1" applyAlignment="1">
      <alignment horizontal="left"/>
    </xf>
    <xf numFmtId="0" fontId="1" fillId="0" borderId="44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65" xfId="0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4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6" xfId="0" applyFont="1" applyBorder="1" applyAlignment="1">
      <alignment horizontal="center"/>
    </xf>
    <xf numFmtId="0" fontId="1" fillId="0" borderId="75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right"/>
    </xf>
    <xf numFmtId="0" fontId="0" fillId="0" borderId="0" xfId="0" applyBorder="1" applyAlignment="1">
      <alignment horizontal="center"/>
    </xf>
    <xf numFmtId="0" fontId="17" fillId="0" borderId="0" xfId="0" applyFont="1" applyAlignment="1">
      <alignment horizontal="right"/>
    </xf>
    <xf numFmtId="0" fontId="18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5" xfId="0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8" fillId="0" borderId="0" xfId="0" applyFont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8" fillId="0" borderId="75" xfId="0" applyFont="1" applyBorder="1" applyAlignment="1">
      <alignment horizontal="center"/>
    </xf>
    <xf numFmtId="0" fontId="8" fillId="0" borderId="81" xfId="0" applyFont="1" applyBorder="1" applyAlignment="1">
      <alignment horizontal="center"/>
    </xf>
    <xf numFmtId="0" fontId="8" fillId="0" borderId="82" xfId="0" applyFont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1" fillId="0" borderId="50" xfId="0" applyFont="1" applyBorder="1" applyAlignment="1">
      <alignment horizontal="center"/>
    </xf>
    <xf numFmtId="0" fontId="1" fillId="0" borderId="62" xfId="0" applyFont="1" applyBorder="1" applyAlignment="1">
      <alignment horizontal="right"/>
    </xf>
  </cellXfs>
  <cellStyles count="274">
    <cellStyle name="Excel Built-in Normal" xfId="1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469900</xdr:colOff>
      <xdr:row>21</xdr:row>
      <xdr:rowOff>76200</xdr:rowOff>
    </xdr:from>
    <xdr:to>
      <xdr:col>2</xdr:col>
      <xdr:colOff>469900</xdr:colOff>
      <xdr:row>24</xdr:row>
      <xdr:rowOff>25400</xdr:rowOff>
    </xdr:to>
    <xdr:cxnSp macro="">
      <xdr:nvCxnSpPr>
        <xdr:cNvPr id="3" name="Straight Arrow Connector 2"/>
        <xdr:cNvCxnSpPr/>
      </xdr:nvCxnSpPr>
      <xdr:spPr>
        <a:xfrm flipV="1">
          <a:off x="2120900" y="5486400"/>
          <a:ext cx="0" cy="850900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368300</xdr:colOff>
      <xdr:row>21</xdr:row>
      <xdr:rowOff>50800</xdr:rowOff>
    </xdr:from>
    <xdr:to>
      <xdr:col>2</xdr:col>
      <xdr:colOff>368300</xdr:colOff>
      <xdr:row>24</xdr:row>
      <xdr:rowOff>0</xdr:rowOff>
    </xdr:to>
    <xdr:cxnSp macro="">
      <xdr:nvCxnSpPr>
        <xdr:cNvPr id="2" name="Straight Arrow Connector 1"/>
        <xdr:cNvCxnSpPr/>
      </xdr:nvCxnSpPr>
      <xdr:spPr>
        <a:xfrm flipV="1">
          <a:off x="2019300" y="5461000"/>
          <a:ext cx="0" cy="850900"/>
        </a:xfrm>
        <a:prstGeom prst="straightConnector1">
          <a:avLst/>
        </a:prstGeom>
        <a:ln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pageSetUpPr fitToPage="1"/>
  </sheetPr>
  <dimension ref="A1:L37"/>
  <sheetViews>
    <sheetView view="pageLayout" workbookViewId="0">
      <selection activeCell="A2" sqref="A2:L3"/>
    </sheetView>
  </sheetViews>
  <sheetFormatPr defaultColWidth="11.19921875" defaultRowHeight="15.6"/>
  <cols>
    <col min="1" max="1" width="10" style="6" customWidth="1"/>
    <col min="2" max="2" width="33.796875" style="6" customWidth="1"/>
    <col min="3" max="3" width="17.5" style="6" customWidth="1"/>
    <col min="4" max="4" width="12.5" style="6" bestFit="1" customWidth="1"/>
    <col min="5" max="10" width="8.796875" style="6" customWidth="1"/>
    <col min="11" max="11" width="8.796875" customWidth="1"/>
  </cols>
  <sheetData>
    <row r="1" spans="1:12">
      <c r="A1" s="298" t="s">
        <v>30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</row>
    <row r="2" spans="1:12" ht="15" customHeight="1">
      <c r="A2" s="299" t="s">
        <v>0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</row>
    <row r="3" spans="1:12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</row>
    <row r="4" spans="1:12" ht="15" customHeight="1">
      <c r="A4" s="1"/>
      <c r="B4" s="1"/>
      <c r="C4" s="1"/>
      <c r="D4" s="1"/>
      <c r="E4" s="1"/>
      <c r="F4" s="1"/>
      <c r="G4" s="1"/>
      <c r="H4" s="1"/>
      <c r="I4" s="1"/>
      <c r="J4" s="1"/>
      <c r="L4" s="2"/>
    </row>
    <row r="5" spans="1:12">
      <c r="A5" s="3" t="s">
        <v>1</v>
      </c>
      <c r="B5" s="296"/>
      <c r="C5" s="296"/>
      <c r="D5" s="4"/>
      <c r="E5" s="4"/>
      <c r="F5"/>
      <c r="G5" s="5" t="s">
        <v>2</v>
      </c>
      <c r="H5" s="297" t="str">
        <f>IF(L5="","",VLOOKUP($L$5,#REF!,2,FALSE))</f>
        <v/>
      </c>
      <c r="I5" s="297"/>
      <c r="K5" s="7" t="s">
        <v>3</v>
      </c>
      <c r="L5" s="19"/>
    </row>
    <row r="6" spans="1:12">
      <c r="A6" s="3"/>
      <c r="B6"/>
      <c r="C6"/>
      <c r="D6"/>
      <c r="E6"/>
      <c r="F6"/>
      <c r="G6"/>
      <c r="J6" s="301" t="s">
        <v>100</v>
      </c>
      <c r="K6" s="301"/>
      <c r="L6" s="179"/>
    </row>
    <row r="7" spans="1:12">
      <c r="A7" s="3"/>
      <c r="B7"/>
      <c r="C7"/>
      <c r="D7"/>
      <c r="E7"/>
      <c r="F7"/>
      <c r="G7"/>
      <c r="H7" s="7"/>
      <c r="I7" s="2"/>
      <c r="J7"/>
    </row>
    <row r="8" spans="1:12">
      <c r="A8" s="8" t="s">
        <v>4</v>
      </c>
      <c r="B8" s="9"/>
      <c r="C8" s="9"/>
      <c r="D8" s="9"/>
      <c r="E8" s="9"/>
      <c r="F8" s="9"/>
      <c r="G8" s="9"/>
      <c r="H8" s="9"/>
      <c r="I8" s="9"/>
      <c r="J8" s="9"/>
      <c r="K8" s="10"/>
      <c r="L8" s="11"/>
    </row>
    <row r="9" spans="1:12">
      <c r="A9" s="12"/>
      <c r="B9" s="2"/>
      <c r="C9" s="2"/>
      <c r="D9" s="2"/>
      <c r="E9" s="2"/>
      <c r="F9" s="2"/>
      <c r="G9" s="2"/>
      <c r="H9" s="2"/>
      <c r="I9" s="2"/>
      <c r="J9" s="2"/>
      <c r="K9" s="2"/>
      <c r="L9" s="13"/>
    </row>
    <row r="10" spans="1:12">
      <c r="A10" s="44"/>
      <c r="B10" s="45"/>
      <c r="C10" s="14"/>
      <c r="D10" s="14"/>
      <c r="E10" s="15"/>
      <c r="F10" s="14"/>
      <c r="G10" s="15"/>
      <c r="H10" s="14"/>
      <c r="I10" s="15"/>
      <c r="J10" s="14"/>
      <c r="K10" s="15"/>
      <c r="L10" s="16"/>
    </row>
    <row r="11" spans="1:12">
      <c r="A11" s="53" t="s">
        <v>6</v>
      </c>
      <c r="B11" s="54"/>
      <c r="C11" s="55"/>
      <c r="D11" s="55"/>
      <c r="E11" s="55"/>
      <c r="F11" s="55"/>
      <c r="G11" s="55"/>
      <c r="H11" s="55"/>
      <c r="I11" s="55"/>
      <c r="J11" s="55"/>
      <c r="K11" s="55"/>
      <c r="L11" s="56"/>
    </row>
    <row r="12" spans="1:12">
      <c r="A12" s="57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58"/>
    </row>
    <row r="13" spans="1:12">
      <c r="A13" s="59" t="s">
        <v>7</v>
      </c>
      <c r="B13" s="52"/>
      <c r="C13" s="32"/>
      <c r="D13" s="32"/>
      <c r="E13" s="32"/>
      <c r="F13" s="32"/>
      <c r="G13" s="32"/>
      <c r="H13" s="32"/>
      <c r="I13" s="32"/>
      <c r="J13" s="32"/>
      <c r="K13" s="32"/>
      <c r="L13" s="58"/>
    </row>
    <row r="14" spans="1:12">
      <c r="A14" s="60" t="s">
        <v>31</v>
      </c>
      <c r="B14" s="19" t="str">
        <f>IF($B$13="","",VLOOKUP($B$13,#REF!,11,FALSE))</f>
        <v/>
      </c>
      <c r="C14" s="61" t="s">
        <v>8</v>
      </c>
      <c r="D14" s="19" t="str">
        <f>IF($B$13="","",VLOOKUP($B$13,#REF!,10,FALSE))</f>
        <v/>
      </c>
      <c r="E14" s="62"/>
      <c r="F14" s="61" t="s">
        <v>9</v>
      </c>
      <c r="G14" s="62"/>
      <c r="H14" s="62"/>
      <c r="I14" s="63"/>
      <c r="J14" s="64" t="s">
        <v>10</v>
      </c>
      <c r="K14" s="64"/>
      <c r="L14" s="65"/>
    </row>
    <row r="15" spans="1:12">
      <c r="A15" s="22"/>
      <c r="B15" s="15"/>
      <c r="C15" s="23"/>
      <c r="D15" s="23"/>
      <c r="E15" s="15"/>
      <c r="F15" s="15"/>
      <c r="G15" s="23"/>
      <c r="H15" s="15"/>
      <c r="I15" s="2"/>
      <c r="J15" s="2"/>
      <c r="K15" s="2"/>
    </row>
    <row r="16" spans="1:12" ht="16.2" thickBot="1">
      <c r="A16" s="300" t="s">
        <v>11</v>
      </c>
      <c r="B16" s="300"/>
      <c r="C16" s="2"/>
      <c r="D16" s="2"/>
      <c r="E16" s="2"/>
      <c r="F16" s="2"/>
      <c r="G16" s="2"/>
      <c r="H16" s="2"/>
      <c r="I16" s="2"/>
      <c r="J16" s="2"/>
      <c r="K16" s="2"/>
    </row>
    <row r="17" spans="1:12" ht="16.2" thickBot="1">
      <c r="A17" s="136" t="s">
        <v>12</v>
      </c>
      <c r="B17" s="137" t="s">
        <v>13</v>
      </c>
      <c r="C17" s="138" t="s">
        <v>23</v>
      </c>
      <c r="D17" s="138" t="s">
        <v>14</v>
      </c>
      <c r="E17" s="139" t="s">
        <v>15</v>
      </c>
      <c r="F17" s="139" t="s">
        <v>16</v>
      </c>
      <c r="G17" s="139" t="s">
        <v>17</v>
      </c>
      <c r="H17" s="139" t="s">
        <v>18</v>
      </c>
      <c r="I17" s="139" t="s">
        <v>19</v>
      </c>
      <c r="J17" s="139" t="s">
        <v>20</v>
      </c>
      <c r="K17" s="140" t="s">
        <v>21</v>
      </c>
      <c r="L17" s="140" t="s">
        <v>22</v>
      </c>
    </row>
    <row r="18" spans="1:12">
      <c r="A18" s="41">
        <v>1</v>
      </c>
      <c r="B18" s="41"/>
      <c r="C18" s="35" t="str">
        <f>IF(B18="","",VLOOKUP($B18,#REF!,2,FALSE))</f>
        <v/>
      </c>
      <c r="D18" s="29" t="str">
        <f>IF(B18="","",VLOOKUP($B18,#REF!,3,FALSE))</f>
        <v/>
      </c>
      <c r="E18" s="38" t="s">
        <v>5</v>
      </c>
      <c r="F18" s="34" t="s">
        <v>5</v>
      </c>
      <c r="G18" s="34" t="s">
        <v>5</v>
      </c>
      <c r="H18" s="34" t="s">
        <v>5</v>
      </c>
      <c r="I18" s="34" t="s">
        <v>5</v>
      </c>
      <c r="J18" s="34" t="s">
        <v>5</v>
      </c>
      <c r="K18" s="34" t="s">
        <v>5</v>
      </c>
      <c r="L18" s="29">
        <f>COUNTIF(E18:K18,"x")</f>
        <v>0</v>
      </c>
    </row>
    <row r="19" spans="1:12">
      <c r="A19" s="42">
        <v>2</v>
      </c>
      <c r="B19" s="42"/>
      <c r="C19" s="36" t="str">
        <f>IF(B19="","",VLOOKUP($B19,#REF!,2,FALSE))</f>
        <v/>
      </c>
      <c r="D19" s="30" t="str">
        <f>IF(B19="","",VLOOKUP($B19,#REF!,3,FALSE))</f>
        <v/>
      </c>
      <c r="E19" s="39" t="s">
        <v>5</v>
      </c>
      <c r="F19" s="25" t="s">
        <v>5</v>
      </c>
      <c r="G19" s="25" t="s">
        <v>5</v>
      </c>
      <c r="H19" s="25" t="s">
        <v>5</v>
      </c>
      <c r="I19" s="25" t="s">
        <v>5</v>
      </c>
      <c r="J19" s="25" t="s">
        <v>5</v>
      </c>
      <c r="K19" s="25" t="s">
        <v>5</v>
      </c>
      <c r="L19" s="30">
        <f t="shared" ref="L19:L37" si="0">COUNTIF(E19:K19,"x")</f>
        <v>0</v>
      </c>
    </row>
    <row r="20" spans="1:12">
      <c r="A20" s="42">
        <v>3</v>
      </c>
      <c r="B20" s="42"/>
      <c r="C20" s="36" t="str">
        <f>IF(B20="","",VLOOKUP($B20,#REF!,2,FALSE))</f>
        <v/>
      </c>
      <c r="D20" s="30" t="str">
        <f>IF(B20="","",VLOOKUP($B20,#REF!,3,FALSE))</f>
        <v/>
      </c>
      <c r="E20" s="39" t="s">
        <v>5</v>
      </c>
      <c r="F20" s="25" t="s">
        <v>5</v>
      </c>
      <c r="G20" s="25" t="s">
        <v>5</v>
      </c>
      <c r="H20" s="25" t="s">
        <v>5</v>
      </c>
      <c r="I20" s="25" t="s">
        <v>5</v>
      </c>
      <c r="J20" s="25" t="s">
        <v>5</v>
      </c>
      <c r="K20" s="25" t="s">
        <v>5</v>
      </c>
      <c r="L20" s="30">
        <f t="shared" si="0"/>
        <v>0</v>
      </c>
    </row>
    <row r="21" spans="1:12">
      <c r="A21" s="42">
        <v>4</v>
      </c>
      <c r="B21" s="42"/>
      <c r="C21" s="36" t="str">
        <f>IF(B21="","",VLOOKUP($B21,#REF!,2,FALSE))</f>
        <v/>
      </c>
      <c r="D21" s="30" t="str">
        <f>IF(B21="","",VLOOKUP($B21,#REF!,3,FALSE))</f>
        <v/>
      </c>
      <c r="E21" s="39" t="s">
        <v>5</v>
      </c>
      <c r="F21" s="25" t="s">
        <v>5</v>
      </c>
      <c r="G21" s="25" t="s">
        <v>5</v>
      </c>
      <c r="H21" s="25" t="s">
        <v>5</v>
      </c>
      <c r="I21" s="25" t="s">
        <v>5</v>
      </c>
      <c r="J21" s="25" t="s">
        <v>5</v>
      </c>
      <c r="K21" s="25" t="s">
        <v>5</v>
      </c>
      <c r="L21" s="30">
        <f t="shared" si="0"/>
        <v>0</v>
      </c>
    </row>
    <row r="22" spans="1:12">
      <c r="A22" s="42">
        <v>5</v>
      </c>
      <c r="B22" s="42"/>
      <c r="C22" s="36" t="str">
        <f>IF(B22="","",VLOOKUP($B22,#REF!,2,FALSE))</f>
        <v/>
      </c>
      <c r="D22" s="30" t="str">
        <f>IF(B22="","",VLOOKUP($B22,#REF!,3,FALSE))</f>
        <v/>
      </c>
      <c r="E22" s="39" t="s">
        <v>5</v>
      </c>
      <c r="F22" s="25" t="s">
        <v>5</v>
      </c>
      <c r="G22" s="25" t="s">
        <v>5</v>
      </c>
      <c r="H22" s="25" t="s">
        <v>5</v>
      </c>
      <c r="I22" s="25" t="s">
        <v>5</v>
      </c>
      <c r="J22" s="25" t="s">
        <v>5</v>
      </c>
      <c r="K22" s="25" t="s">
        <v>5</v>
      </c>
      <c r="L22" s="30">
        <f t="shared" si="0"/>
        <v>0</v>
      </c>
    </row>
    <row r="23" spans="1:12">
      <c r="A23" s="42">
        <v>6</v>
      </c>
      <c r="B23" s="42"/>
      <c r="C23" s="36" t="str">
        <f>IF(B23="","",VLOOKUP($B23,#REF!,2,FALSE))</f>
        <v/>
      </c>
      <c r="D23" s="30" t="str">
        <f>IF(B23="","",VLOOKUP($B23,#REF!,3,FALSE))</f>
        <v/>
      </c>
      <c r="E23" s="39" t="s">
        <v>5</v>
      </c>
      <c r="F23" s="25" t="s">
        <v>5</v>
      </c>
      <c r="G23" s="25" t="s">
        <v>5</v>
      </c>
      <c r="H23" s="25" t="s">
        <v>5</v>
      </c>
      <c r="I23" s="25" t="s">
        <v>5</v>
      </c>
      <c r="J23" s="25" t="s">
        <v>5</v>
      </c>
      <c r="K23" s="25" t="s">
        <v>5</v>
      </c>
      <c r="L23" s="30">
        <f t="shared" si="0"/>
        <v>0</v>
      </c>
    </row>
    <row r="24" spans="1:12">
      <c r="A24" s="42">
        <v>7</v>
      </c>
      <c r="B24" s="42"/>
      <c r="C24" s="36" t="str">
        <f>IF(B24="","",VLOOKUP($B24,#REF!,2,FALSE))</f>
        <v/>
      </c>
      <c r="D24" s="30" t="str">
        <f>IF(B24="","",VLOOKUP($B24,#REF!,3,FALSE))</f>
        <v/>
      </c>
      <c r="E24" s="39" t="s">
        <v>5</v>
      </c>
      <c r="F24" s="25" t="s">
        <v>5</v>
      </c>
      <c r="G24" s="25" t="s">
        <v>5</v>
      </c>
      <c r="H24" s="25" t="s">
        <v>5</v>
      </c>
      <c r="I24" s="25" t="s">
        <v>5</v>
      </c>
      <c r="J24" s="25" t="s">
        <v>5</v>
      </c>
      <c r="K24" s="25" t="s">
        <v>5</v>
      </c>
      <c r="L24" s="30">
        <f t="shared" si="0"/>
        <v>0</v>
      </c>
    </row>
    <row r="25" spans="1:12">
      <c r="A25" s="42">
        <v>8</v>
      </c>
      <c r="B25" s="42"/>
      <c r="C25" s="36" t="str">
        <f>IF(B25="","",VLOOKUP($B25,#REF!,2,FALSE))</f>
        <v/>
      </c>
      <c r="D25" s="30" t="str">
        <f>IF(B25="","",VLOOKUP($B25,#REF!,3,FALSE))</f>
        <v/>
      </c>
      <c r="E25" s="39" t="s">
        <v>5</v>
      </c>
      <c r="F25" s="25" t="s">
        <v>5</v>
      </c>
      <c r="G25" s="25" t="s">
        <v>5</v>
      </c>
      <c r="H25" s="25" t="s">
        <v>5</v>
      </c>
      <c r="I25" s="25" t="s">
        <v>5</v>
      </c>
      <c r="J25" s="25" t="s">
        <v>5</v>
      </c>
      <c r="K25" s="25" t="s">
        <v>5</v>
      </c>
      <c r="L25" s="30">
        <f t="shared" si="0"/>
        <v>0</v>
      </c>
    </row>
    <row r="26" spans="1:12">
      <c r="A26" s="42">
        <v>9</v>
      </c>
      <c r="B26" s="42"/>
      <c r="C26" s="36" t="str">
        <f>IF(B26="","",VLOOKUP($B26,#REF!,2,FALSE))</f>
        <v/>
      </c>
      <c r="D26" s="30" t="str">
        <f>IF(B26="","",VLOOKUP($B26,#REF!,3,FALSE))</f>
        <v/>
      </c>
      <c r="E26" s="39" t="s">
        <v>5</v>
      </c>
      <c r="F26" s="25" t="s">
        <v>5</v>
      </c>
      <c r="G26" s="25" t="s">
        <v>5</v>
      </c>
      <c r="H26" s="25" t="s">
        <v>5</v>
      </c>
      <c r="I26" s="25" t="s">
        <v>5</v>
      </c>
      <c r="J26" s="25" t="s">
        <v>5</v>
      </c>
      <c r="K26" s="25" t="s">
        <v>5</v>
      </c>
      <c r="L26" s="30">
        <f t="shared" si="0"/>
        <v>0</v>
      </c>
    </row>
    <row r="27" spans="1:12">
      <c r="A27" s="42">
        <v>10</v>
      </c>
      <c r="B27" s="42"/>
      <c r="C27" s="36" t="str">
        <f>IF(B27="","",VLOOKUP($B27,#REF!,2,FALSE))</f>
        <v/>
      </c>
      <c r="D27" s="30" t="str">
        <f>IF(B27="","",VLOOKUP($B27,#REF!,3,FALSE))</f>
        <v/>
      </c>
      <c r="E27" s="39" t="s">
        <v>5</v>
      </c>
      <c r="F27" s="25" t="s">
        <v>5</v>
      </c>
      <c r="G27" s="25" t="s">
        <v>5</v>
      </c>
      <c r="H27" s="25" t="s">
        <v>5</v>
      </c>
      <c r="I27" s="25" t="s">
        <v>5</v>
      </c>
      <c r="J27" s="25" t="s">
        <v>5</v>
      </c>
      <c r="K27" s="25" t="s">
        <v>5</v>
      </c>
      <c r="L27" s="30">
        <f t="shared" si="0"/>
        <v>0</v>
      </c>
    </row>
    <row r="28" spans="1:12">
      <c r="A28" s="42">
        <v>11</v>
      </c>
      <c r="B28" s="42"/>
      <c r="C28" s="36" t="str">
        <f>IF(B28="","",VLOOKUP($B28,#REF!,2,FALSE))</f>
        <v/>
      </c>
      <c r="D28" s="30" t="str">
        <f>IF(B28="","",VLOOKUP($B28,#REF!,3,FALSE))</f>
        <v/>
      </c>
      <c r="E28" s="39" t="s">
        <v>5</v>
      </c>
      <c r="F28" s="25" t="s">
        <v>5</v>
      </c>
      <c r="G28" s="25" t="s">
        <v>5</v>
      </c>
      <c r="H28" s="25" t="s">
        <v>5</v>
      </c>
      <c r="I28" s="25" t="s">
        <v>5</v>
      </c>
      <c r="J28" s="25" t="s">
        <v>5</v>
      </c>
      <c r="K28" s="25" t="s">
        <v>5</v>
      </c>
      <c r="L28" s="30">
        <f t="shared" si="0"/>
        <v>0</v>
      </c>
    </row>
    <row r="29" spans="1:12">
      <c r="A29" s="42">
        <v>12</v>
      </c>
      <c r="B29" s="42"/>
      <c r="C29" s="36" t="str">
        <f>IF(B29="","",VLOOKUP($B29,#REF!,2,FALSE))</f>
        <v/>
      </c>
      <c r="D29" s="30" t="str">
        <f>IF(B29="","",VLOOKUP($B29,#REF!,3,FALSE))</f>
        <v/>
      </c>
      <c r="E29" s="39" t="s">
        <v>5</v>
      </c>
      <c r="F29" s="25" t="s">
        <v>5</v>
      </c>
      <c r="G29" s="25" t="s">
        <v>5</v>
      </c>
      <c r="H29" s="25" t="s">
        <v>5</v>
      </c>
      <c r="I29" s="25" t="s">
        <v>5</v>
      </c>
      <c r="J29" s="25" t="s">
        <v>5</v>
      </c>
      <c r="K29" s="25" t="s">
        <v>5</v>
      </c>
      <c r="L29" s="30">
        <f t="shared" si="0"/>
        <v>0</v>
      </c>
    </row>
    <row r="30" spans="1:12">
      <c r="A30" s="42">
        <v>13</v>
      </c>
      <c r="B30" s="42"/>
      <c r="C30" s="36" t="str">
        <f>IF(B30="","",VLOOKUP($B30,#REF!,2,FALSE))</f>
        <v/>
      </c>
      <c r="D30" s="30" t="str">
        <f>IF(B30="","",VLOOKUP($B30,#REF!,3,FALSE))</f>
        <v/>
      </c>
      <c r="E30" s="39" t="s">
        <v>5</v>
      </c>
      <c r="F30" s="25" t="s">
        <v>5</v>
      </c>
      <c r="G30" s="25" t="s">
        <v>5</v>
      </c>
      <c r="H30" s="25" t="s">
        <v>5</v>
      </c>
      <c r="I30" s="25" t="s">
        <v>5</v>
      </c>
      <c r="J30" s="25" t="s">
        <v>5</v>
      </c>
      <c r="K30" s="25" t="s">
        <v>5</v>
      </c>
      <c r="L30" s="30">
        <f t="shared" si="0"/>
        <v>0</v>
      </c>
    </row>
    <row r="31" spans="1:12">
      <c r="A31" s="42">
        <v>14</v>
      </c>
      <c r="B31" s="42"/>
      <c r="C31" s="36" t="str">
        <f>IF(B31="","",VLOOKUP($B31,#REF!,2,FALSE))</f>
        <v/>
      </c>
      <c r="D31" s="30" t="str">
        <f>IF(B31="","",VLOOKUP($B31,#REF!,3,FALSE))</f>
        <v/>
      </c>
      <c r="E31" s="39" t="s">
        <v>5</v>
      </c>
      <c r="F31" s="25" t="s">
        <v>5</v>
      </c>
      <c r="G31" s="25" t="s">
        <v>5</v>
      </c>
      <c r="H31" s="25" t="s">
        <v>5</v>
      </c>
      <c r="I31" s="25" t="s">
        <v>5</v>
      </c>
      <c r="J31" s="25" t="s">
        <v>5</v>
      </c>
      <c r="K31" s="25" t="s">
        <v>5</v>
      </c>
      <c r="L31" s="30">
        <f t="shared" si="0"/>
        <v>0</v>
      </c>
    </row>
    <row r="32" spans="1:12">
      <c r="A32" s="42">
        <v>15</v>
      </c>
      <c r="B32" s="42"/>
      <c r="C32" s="36" t="str">
        <f>IF(B32="","",VLOOKUP($B32,#REF!,2,FALSE))</f>
        <v/>
      </c>
      <c r="D32" s="30" t="str">
        <f>IF(B32="","",VLOOKUP($B32,#REF!,3,FALSE))</f>
        <v/>
      </c>
      <c r="E32" s="39" t="s">
        <v>5</v>
      </c>
      <c r="F32" s="25" t="s">
        <v>5</v>
      </c>
      <c r="G32" s="25" t="s">
        <v>5</v>
      </c>
      <c r="H32" s="25" t="s">
        <v>5</v>
      </c>
      <c r="I32" s="25" t="s">
        <v>5</v>
      </c>
      <c r="J32" s="25" t="s">
        <v>5</v>
      </c>
      <c r="K32" s="25" t="s">
        <v>5</v>
      </c>
      <c r="L32" s="30">
        <f t="shared" si="0"/>
        <v>0</v>
      </c>
    </row>
    <row r="33" spans="1:12">
      <c r="A33" s="42">
        <v>16</v>
      </c>
      <c r="B33" s="42"/>
      <c r="C33" s="36" t="str">
        <f>IF(B33="","",VLOOKUP($B33,#REF!,2,FALSE))</f>
        <v/>
      </c>
      <c r="D33" s="30" t="str">
        <f>IF(B33="","",VLOOKUP($B33,#REF!,3,FALSE))</f>
        <v/>
      </c>
      <c r="E33" s="39" t="s">
        <v>5</v>
      </c>
      <c r="F33" s="25" t="s">
        <v>5</v>
      </c>
      <c r="G33" s="25" t="s">
        <v>5</v>
      </c>
      <c r="H33" s="25" t="s">
        <v>5</v>
      </c>
      <c r="I33" s="25" t="s">
        <v>5</v>
      </c>
      <c r="J33" s="25" t="s">
        <v>5</v>
      </c>
      <c r="K33" s="25" t="s">
        <v>5</v>
      </c>
      <c r="L33" s="30">
        <f t="shared" si="0"/>
        <v>0</v>
      </c>
    </row>
    <row r="34" spans="1:12">
      <c r="A34" s="42">
        <v>17</v>
      </c>
      <c r="B34" s="42"/>
      <c r="C34" s="36" t="str">
        <f>IF(B34="","",VLOOKUP($B34,#REF!,2,FALSE))</f>
        <v/>
      </c>
      <c r="D34" s="30" t="str">
        <f>IF(B34="","",VLOOKUP($B34,#REF!,3,FALSE))</f>
        <v/>
      </c>
      <c r="E34" s="39" t="s">
        <v>5</v>
      </c>
      <c r="F34" s="25" t="s">
        <v>5</v>
      </c>
      <c r="G34" s="25" t="s">
        <v>5</v>
      </c>
      <c r="H34" s="25" t="s">
        <v>5</v>
      </c>
      <c r="I34" s="25" t="s">
        <v>5</v>
      </c>
      <c r="J34" s="25" t="s">
        <v>5</v>
      </c>
      <c r="K34" s="25" t="s">
        <v>5</v>
      </c>
      <c r="L34" s="30">
        <f t="shared" si="0"/>
        <v>0</v>
      </c>
    </row>
    <row r="35" spans="1:12">
      <c r="A35" s="42">
        <v>18</v>
      </c>
      <c r="B35" s="42"/>
      <c r="C35" s="36" t="str">
        <f>IF(B35="","",VLOOKUP($B35,#REF!,2,FALSE))</f>
        <v/>
      </c>
      <c r="D35" s="30" t="str">
        <f>IF(B35="","",VLOOKUP($B35,#REF!,3,FALSE))</f>
        <v/>
      </c>
      <c r="E35" s="39" t="s">
        <v>5</v>
      </c>
      <c r="F35" s="25" t="s">
        <v>5</v>
      </c>
      <c r="G35" s="25" t="s">
        <v>5</v>
      </c>
      <c r="H35" s="25" t="s">
        <v>5</v>
      </c>
      <c r="I35" s="25" t="s">
        <v>5</v>
      </c>
      <c r="J35" s="25" t="s">
        <v>5</v>
      </c>
      <c r="K35" s="25" t="s">
        <v>5</v>
      </c>
      <c r="L35" s="30">
        <f t="shared" si="0"/>
        <v>0</v>
      </c>
    </row>
    <row r="36" spans="1:12">
      <c r="A36" s="42">
        <v>19</v>
      </c>
      <c r="B36" s="42"/>
      <c r="C36" s="36" t="str">
        <f>IF(B36="","",VLOOKUP($B36,#REF!,2,FALSE))</f>
        <v/>
      </c>
      <c r="D36" s="30" t="str">
        <f>IF(B36="","",VLOOKUP($B36,#REF!,3,FALSE))</f>
        <v/>
      </c>
      <c r="E36" s="39" t="s">
        <v>5</v>
      </c>
      <c r="F36" s="25" t="s">
        <v>5</v>
      </c>
      <c r="G36" s="25" t="s">
        <v>5</v>
      </c>
      <c r="H36" s="25" t="s">
        <v>5</v>
      </c>
      <c r="I36" s="25" t="s">
        <v>5</v>
      </c>
      <c r="J36" s="25" t="s">
        <v>5</v>
      </c>
      <c r="K36" s="25" t="s">
        <v>5</v>
      </c>
      <c r="L36" s="30">
        <f t="shared" si="0"/>
        <v>0</v>
      </c>
    </row>
    <row r="37" spans="1:12" ht="16.2" thickBot="1">
      <c r="A37" s="43">
        <v>20</v>
      </c>
      <c r="B37" s="43"/>
      <c r="C37" s="37" t="str">
        <f>IF(B37="","",VLOOKUP($B37,#REF!,2,FALSE))</f>
        <v/>
      </c>
      <c r="D37" s="31" t="str">
        <f>IF(B37="","",VLOOKUP($B37,#REF!,3,FALSE))</f>
        <v/>
      </c>
      <c r="E37" s="40" t="s">
        <v>5</v>
      </c>
      <c r="F37" s="27" t="s">
        <v>5</v>
      </c>
      <c r="G37" s="27" t="s">
        <v>5</v>
      </c>
      <c r="H37" s="27" t="s">
        <v>5</v>
      </c>
      <c r="I37" s="27" t="s">
        <v>5</v>
      </c>
      <c r="J37" s="27" t="s">
        <v>5</v>
      </c>
      <c r="K37" s="27" t="s">
        <v>5</v>
      </c>
      <c r="L37" s="31">
        <f t="shared" si="0"/>
        <v>0</v>
      </c>
    </row>
  </sheetData>
  <mergeCells count="6">
    <mergeCell ref="B5:C5"/>
    <mergeCell ref="H5:I5"/>
    <mergeCell ref="A1:L1"/>
    <mergeCell ref="A2:L3"/>
    <mergeCell ref="A16:B16"/>
    <mergeCell ref="J6:K6"/>
  </mergeCells>
  <phoneticPr fontId="6" type="noConversion"/>
  <dataValidations count="5">
    <dataValidation type="list" allowBlank="1" showInputMessage="1" showErrorMessage="1" sqref="B13">
      <formula1>Lotes</formula1>
    </dataValidation>
    <dataValidation type="list" allowBlank="1" showInputMessage="1" showErrorMessage="1" sqref="B18:B37">
      <formula1>Trabajadores</formula1>
    </dataValidation>
    <dataValidation type="list" allowBlank="1" showInputMessage="1" showErrorMessage="1" sqref="L5">
      <formula1>Semanas</formula1>
    </dataValidation>
    <dataValidation type="list" allowBlank="1" showInputMessage="1" showErrorMessage="1" sqref="B5:C5">
      <formula1>Supervisores</formula1>
    </dataValidation>
    <dataValidation type="list" allowBlank="1" showInputMessage="1" showErrorMessage="1" sqref="B10">
      <formula1>Actividades</formula1>
    </dataValidation>
  </dataValidations>
  <printOptions horizontalCentered="1" verticalCentered="1"/>
  <pageMargins left="0.55000000000000004" right="0.55000000000000004" top="1" bottom="1" header="0.5" footer="0.5"/>
  <pageSetup scale="79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ignoredErrors>
    <ignoredError sqref="C18:D37 H5" emptyCellReference="1"/>
  </ignoredErrors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pageSetUpPr fitToPage="1"/>
  </sheetPr>
  <dimension ref="A1:L37"/>
  <sheetViews>
    <sheetView view="pageLayout" workbookViewId="0">
      <selection activeCell="A2" sqref="A2:L3"/>
    </sheetView>
  </sheetViews>
  <sheetFormatPr defaultColWidth="11.19921875" defaultRowHeight="15.6"/>
  <cols>
    <col min="1" max="1" width="10" style="6" customWidth="1"/>
    <col min="2" max="2" width="33.796875" style="6" customWidth="1"/>
    <col min="3" max="3" width="17.5" style="6" customWidth="1"/>
    <col min="4" max="4" width="12.5" style="6" bestFit="1" customWidth="1"/>
    <col min="5" max="10" width="8.796875" style="6" customWidth="1"/>
    <col min="11" max="11" width="8.796875" customWidth="1"/>
  </cols>
  <sheetData>
    <row r="1" spans="1:12">
      <c r="A1" s="298" t="s">
        <v>29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</row>
    <row r="2" spans="1:12">
      <c r="A2" s="299" t="s">
        <v>28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</row>
    <row r="3" spans="1:12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</row>
    <row r="4" spans="1:12" ht="21">
      <c r="A4" s="1"/>
      <c r="B4" s="1"/>
      <c r="C4" s="1"/>
      <c r="D4" s="1"/>
      <c r="E4" s="1"/>
      <c r="F4" s="1"/>
      <c r="G4" s="1"/>
      <c r="H4" s="1"/>
      <c r="I4" s="1"/>
      <c r="J4" s="1"/>
      <c r="L4" s="2"/>
    </row>
    <row r="5" spans="1:12">
      <c r="A5" s="3" t="s">
        <v>1</v>
      </c>
      <c r="B5" s="296"/>
      <c r="C5" s="296"/>
      <c r="D5" s="4"/>
      <c r="E5" s="4"/>
      <c r="F5"/>
      <c r="G5" s="5" t="s">
        <v>2</v>
      </c>
      <c r="H5" s="297" t="str">
        <f>IF(L5="","",VLOOKUP($L$5,#REF!,2,FALSE))</f>
        <v/>
      </c>
      <c r="I5" s="297"/>
      <c r="K5" s="7" t="s">
        <v>3</v>
      </c>
      <c r="L5" s="19"/>
    </row>
    <row r="6" spans="1:12">
      <c r="A6" s="3"/>
      <c r="B6"/>
      <c r="C6"/>
      <c r="D6"/>
      <c r="E6"/>
      <c r="F6"/>
      <c r="G6"/>
      <c r="J6"/>
    </row>
    <row r="7" spans="1:12">
      <c r="A7" s="3"/>
      <c r="B7"/>
      <c r="C7"/>
      <c r="D7"/>
      <c r="E7"/>
      <c r="F7"/>
      <c r="G7"/>
      <c r="H7" s="7"/>
      <c r="I7" s="2"/>
      <c r="J7"/>
    </row>
    <row r="8" spans="1:12">
      <c r="A8" s="8" t="s">
        <v>4</v>
      </c>
      <c r="B8" s="9"/>
      <c r="C8" s="9"/>
      <c r="D8" s="9"/>
      <c r="E8" s="9"/>
      <c r="F8" s="9"/>
      <c r="G8" s="9"/>
      <c r="H8" s="9"/>
      <c r="I8" s="9"/>
      <c r="J8" s="9"/>
      <c r="K8" s="10"/>
      <c r="L8" s="11"/>
    </row>
    <row r="9" spans="1:12">
      <c r="A9" s="12"/>
      <c r="B9" s="2"/>
      <c r="C9" s="2"/>
      <c r="D9" s="2"/>
      <c r="E9" s="2"/>
      <c r="F9" s="2"/>
      <c r="G9" s="2"/>
      <c r="H9" s="2"/>
      <c r="I9" s="2"/>
      <c r="J9" s="2"/>
      <c r="K9" s="2"/>
      <c r="L9" s="13"/>
    </row>
    <row r="10" spans="1:12">
      <c r="A10" s="44"/>
      <c r="B10" s="45"/>
      <c r="C10" s="14"/>
      <c r="D10" s="14"/>
      <c r="E10" s="15"/>
      <c r="F10" s="14"/>
      <c r="G10" s="15"/>
      <c r="H10" s="14"/>
      <c r="I10" s="15"/>
      <c r="J10" s="14"/>
      <c r="K10" s="15"/>
      <c r="L10" s="16"/>
    </row>
    <row r="11" spans="1:12">
      <c r="A11" s="18" t="s">
        <v>6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1"/>
    </row>
    <row r="12" spans="1:12">
      <c r="A12" s="49"/>
      <c r="B12" s="2"/>
      <c r="C12" s="2"/>
      <c r="D12" s="2"/>
      <c r="E12" s="2"/>
      <c r="F12" s="2"/>
      <c r="G12" s="2"/>
      <c r="H12" s="2"/>
      <c r="I12" s="2"/>
      <c r="J12" s="2"/>
      <c r="K12" s="2"/>
      <c r="L12" s="13"/>
    </row>
    <row r="13" spans="1:12">
      <c r="A13" s="50" t="s">
        <v>7</v>
      </c>
      <c r="B13" s="52"/>
      <c r="C13" s="2"/>
      <c r="D13" s="2"/>
      <c r="E13" s="2"/>
      <c r="F13" s="2"/>
      <c r="G13" s="2"/>
      <c r="H13" s="2"/>
      <c r="I13" s="2"/>
      <c r="J13" s="2"/>
      <c r="K13" s="2"/>
      <c r="L13" s="13"/>
    </row>
    <row r="14" spans="1:12">
      <c r="A14" s="51" t="s">
        <v>31</v>
      </c>
      <c r="B14" s="19" t="str">
        <f>IF($B$13="","",VLOOKUP($B$13,#REF!,11,FALSE))</f>
        <v/>
      </c>
      <c r="C14" s="19" t="s">
        <v>8</v>
      </c>
      <c r="D14" s="19" t="str">
        <f>IF($B$13="","",VLOOKUP($B$13,#REF!,10,FALSE))</f>
        <v/>
      </c>
      <c r="E14" s="20"/>
      <c r="F14" s="19" t="s">
        <v>9</v>
      </c>
      <c r="G14" s="20"/>
      <c r="H14" s="20"/>
      <c r="I14" s="4"/>
      <c r="J14" s="21" t="s">
        <v>10</v>
      </c>
      <c r="K14" s="4"/>
      <c r="L14" s="17"/>
    </row>
    <row r="15" spans="1:12">
      <c r="A15" s="22"/>
      <c r="B15" s="15"/>
      <c r="C15" s="23"/>
      <c r="D15" s="23"/>
      <c r="E15" s="15"/>
      <c r="F15" s="15"/>
      <c r="G15" s="23"/>
      <c r="H15" s="15"/>
      <c r="I15" s="2"/>
      <c r="J15" s="2"/>
      <c r="K15" s="2"/>
    </row>
    <row r="16" spans="1:12" ht="16.2" thickBot="1">
      <c r="A16" s="300" t="s">
        <v>11</v>
      </c>
      <c r="B16" s="300"/>
      <c r="C16" s="2"/>
      <c r="D16" s="2"/>
      <c r="E16" s="2"/>
      <c r="F16" s="2"/>
      <c r="G16" s="2"/>
      <c r="H16" s="2"/>
      <c r="I16" s="2"/>
      <c r="J16" s="2"/>
      <c r="K16" s="2"/>
    </row>
    <row r="17" spans="1:12" ht="16.2" thickBot="1">
      <c r="A17" s="136" t="s">
        <v>12</v>
      </c>
      <c r="B17" s="137" t="s">
        <v>13</v>
      </c>
      <c r="C17" s="138" t="s">
        <v>23</v>
      </c>
      <c r="D17" s="138" t="s">
        <v>14</v>
      </c>
      <c r="E17" s="139" t="s">
        <v>15</v>
      </c>
      <c r="F17" s="139" t="s">
        <v>16</v>
      </c>
      <c r="G17" s="139" t="s">
        <v>17</v>
      </c>
      <c r="H17" s="139" t="s">
        <v>18</v>
      </c>
      <c r="I17" s="139" t="s">
        <v>19</v>
      </c>
      <c r="J17" s="139" t="s">
        <v>20</v>
      </c>
      <c r="K17" s="140" t="s">
        <v>21</v>
      </c>
      <c r="L17" s="140" t="s">
        <v>22</v>
      </c>
    </row>
    <row r="18" spans="1:12">
      <c r="A18" s="41">
        <v>1</v>
      </c>
      <c r="B18" s="33"/>
      <c r="C18" s="35" t="str">
        <f>IF(B18="","",VLOOKUP($B18,#REF!,2,FALSE))</f>
        <v/>
      </c>
      <c r="D18" s="46" t="str">
        <f>IF(B18="","",VLOOKUP($B18,#REF!,3,FALSE))</f>
        <v/>
      </c>
      <c r="E18" s="38" t="s">
        <v>5</v>
      </c>
      <c r="F18" s="34" t="s">
        <v>5</v>
      </c>
      <c r="G18" s="34" t="s">
        <v>5</v>
      </c>
      <c r="H18" s="34" t="s">
        <v>5</v>
      </c>
      <c r="I18" s="34" t="s">
        <v>5</v>
      </c>
      <c r="J18" s="34" t="s">
        <v>5</v>
      </c>
      <c r="K18" s="34" t="s">
        <v>5</v>
      </c>
      <c r="L18" s="29">
        <f>COUNTIF(E18:K18,"x")</f>
        <v>0</v>
      </c>
    </row>
    <row r="19" spans="1:12">
      <c r="A19" s="42">
        <v>2</v>
      </c>
      <c r="B19" s="24"/>
      <c r="C19" s="36" t="str">
        <f>IF(B19="","",VLOOKUP($B19,#REF!,2,FALSE))</f>
        <v/>
      </c>
      <c r="D19" s="47" t="str">
        <f>IF(B19="","",VLOOKUP($B19,#REF!,3,FALSE))</f>
        <v/>
      </c>
      <c r="E19" s="39" t="s">
        <v>5</v>
      </c>
      <c r="F19" s="25" t="s">
        <v>5</v>
      </c>
      <c r="G19" s="25" t="s">
        <v>5</v>
      </c>
      <c r="H19" s="25" t="s">
        <v>5</v>
      </c>
      <c r="I19" s="25" t="s">
        <v>5</v>
      </c>
      <c r="J19" s="25" t="s">
        <v>5</v>
      </c>
      <c r="K19" s="25" t="s">
        <v>5</v>
      </c>
      <c r="L19" s="30">
        <f t="shared" ref="L19:L37" si="0">COUNTIF(E19:K19,"x")</f>
        <v>0</v>
      </c>
    </row>
    <row r="20" spans="1:12">
      <c r="A20" s="42">
        <v>3</v>
      </c>
      <c r="B20" s="24"/>
      <c r="C20" s="36" t="str">
        <f>IF(B20="","",VLOOKUP($B20,#REF!,2,FALSE))</f>
        <v/>
      </c>
      <c r="D20" s="47" t="str">
        <f>IF(B20="","",VLOOKUP($B20,#REF!,3,FALSE))</f>
        <v/>
      </c>
      <c r="E20" s="39" t="s">
        <v>5</v>
      </c>
      <c r="F20" s="25" t="s">
        <v>5</v>
      </c>
      <c r="G20" s="25" t="s">
        <v>5</v>
      </c>
      <c r="H20" s="25" t="s">
        <v>5</v>
      </c>
      <c r="I20" s="25" t="s">
        <v>5</v>
      </c>
      <c r="J20" s="25" t="s">
        <v>5</v>
      </c>
      <c r="K20" s="25" t="s">
        <v>5</v>
      </c>
      <c r="L20" s="30">
        <f t="shared" si="0"/>
        <v>0</v>
      </c>
    </row>
    <row r="21" spans="1:12">
      <c r="A21" s="42">
        <v>4</v>
      </c>
      <c r="B21" s="24"/>
      <c r="C21" s="36" t="str">
        <f>IF(B21="","",VLOOKUP($B21,#REF!,2,FALSE))</f>
        <v/>
      </c>
      <c r="D21" s="47" t="str">
        <f>IF(B21="","",VLOOKUP($B21,#REF!,3,FALSE))</f>
        <v/>
      </c>
      <c r="E21" s="39" t="s">
        <v>5</v>
      </c>
      <c r="F21" s="25" t="s">
        <v>5</v>
      </c>
      <c r="G21" s="25" t="s">
        <v>5</v>
      </c>
      <c r="H21" s="25" t="s">
        <v>5</v>
      </c>
      <c r="I21" s="25" t="s">
        <v>5</v>
      </c>
      <c r="J21" s="25" t="s">
        <v>5</v>
      </c>
      <c r="K21" s="25" t="s">
        <v>5</v>
      </c>
      <c r="L21" s="30">
        <f t="shared" si="0"/>
        <v>0</v>
      </c>
    </row>
    <row r="22" spans="1:12">
      <c r="A22" s="42">
        <v>5</v>
      </c>
      <c r="B22" s="24"/>
      <c r="C22" s="36" t="str">
        <f>IF(B22="","",VLOOKUP($B22,#REF!,2,FALSE))</f>
        <v/>
      </c>
      <c r="D22" s="47" t="str">
        <f>IF(B22="","",VLOOKUP($B22,#REF!,3,FALSE))</f>
        <v/>
      </c>
      <c r="E22" s="39" t="s">
        <v>5</v>
      </c>
      <c r="F22" s="25" t="s">
        <v>5</v>
      </c>
      <c r="G22" s="25" t="s">
        <v>5</v>
      </c>
      <c r="H22" s="25" t="s">
        <v>5</v>
      </c>
      <c r="I22" s="25" t="s">
        <v>5</v>
      </c>
      <c r="J22" s="25" t="s">
        <v>5</v>
      </c>
      <c r="K22" s="25" t="s">
        <v>5</v>
      </c>
      <c r="L22" s="30">
        <f t="shared" si="0"/>
        <v>0</v>
      </c>
    </row>
    <row r="23" spans="1:12">
      <c r="A23" s="42">
        <v>6</v>
      </c>
      <c r="B23" s="24"/>
      <c r="C23" s="36" t="str">
        <f>IF(B23="","",VLOOKUP($B23,#REF!,2,FALSE))</f>
        <v/>
      </c>
      <c r="D23" s="47" t="str">
        <f>IF(B23="","",VLOOKUP($B23,#REF!,3,FALSE))</f>
        <v/>
      </c>
      <c r="E23" s="39" t="s">
        <v>5</v>
      </c>
      <c r="F23" s="25" t="s">
        <v>5</v>
      </c>
      <c r="G23" s="25" t="s">
        <v>5</v>
      </c>
      <c r="H23" s="25" t="s">
        <v>5</v>
      </c>
      <c r="I23" s="25" t="s">
        <v>5</v>
      </c>
      <c r="J23" s="25" t="s">
        <v>5</v>
      </c>
      <c r="K23" s="25" t="s">
        <v>5</v>
      </c>
      <c r="L23" s="30">
        <f t="shared" si="0"/>
        <v>0</v>
      </c>
    </row>
    <row r="24" spans="1:12">
      <c r="A24" s="42">
        <v>7</v>
      </c>
      <c r="B24" s="24"/>
      <c r="C24" s="36" t="str">
        <f>IF(B24="","",VLOOKUP($B24,#REF!,2,FALSE))</f>
        <v/>
      </c>
      <c r="D24" s="47" t="str">
        <f>IF(B24="","",VLOOKUP($B24,#REF!,3,FALSE))</f>
        <v/>
      </c>
      <c r="E24" s="39" t="s">
        <v>5</v>
      </c>
      <c r="F24" s="25" t="s">
        <v>5</v>
      </c>
      <c r="G24" s="25" t="s">
        <v>5</v>
      </c>
      <c r="H24" s="25" t="s">
        <v>5</v>
      </c>
      <c r="I24" s="25" t="s">
        <v>5</v>
      </c>
      <c r="J24" s="25" t="s">
        <v>5</v>
      </c>
      <c r="K24" s="25" t="s">
        <v>5</v>
      </c>
      <c r="L24" s="30">
        <f t="shared" si="0"/>
        <v>0</v>
      </c>
    </row>
    <row r="25" spans="1:12">
      <c r="A25" s="42">
        <v>8</v>
      </c>
      <c r="B25" s="24"/>
      <c r="C25" s="36" t="str">
        <f>IF(B25="","",VLOOKUP($B25,#REF!,2,FALSE))</f>
        <v/>
      </c>
      <c r="D25" s="47" t="str">
        <f>IF(B25="","",VLOOKUP($B25,#REF!,3,FALSE))</f>
        <v/>
      </c>
      <c r="E25" s="39" t="s">
        <v>5</v>
      </c>
      <c r="F25" s="25" t="s">
        <v>5</v>
      </c>
      <c r="G25" s="25" t="s">
        <v>5</v>
      </c>
      <c r="H25" s="25" t="s">
        <v>5</v>
      </c>
      <c r="I25" s="25" t="s">
        <v>5</v>
      </c>
      <c r="J25" s="25" t="s">
        <v>5</v>
      </c>
      <c r="K25" s="25" t="s">
        <v>5</v>
      </c>
      <c r="L25" s="30">
        <f t="shared" si="0"/>
        <v>0</v>
      </c>
    </row>
    <row r="26" spans="1:12">
      <c r="A26" s="42">
        <v>9</v>
      </c>
      <c r="B26" s="24"/>
      <c r="C26" s="36" t="str">
        <f>IF(B26="","",VLOOKUP($B26,#REF!,2,FALSE))</f>
        <v/>
      </c>
      <c r="D26" s="47" t="str">
        <f>IF(B26="","",VLOOKUP($B26,#REF!,3,FALSE))</f>
        <v/>
      </c>
      <c r="E26" s="39" t="s">
        <v>5</v>
      </c>
      <c r="F26" s="25" t="s">
        <v>5</v>
      </c>
      <c r="G26" s="25" t="s">
        <v>5</v>
      </c>
      <c r="H26" s="25" t="s">
        <v>5</v>
      </c>
      <c r="I26" s="25" t="s">
        <v>5</v>
      </c>
      <c r="J26" s="25" t="s">
        <v>5</v>
      </c>
      <c r="K26" s="25" t="s">
        <v>5</v>
      </c>
      <c r="L26" s="30">
        <f t="shared" si="0"/>
        <v>0</v>
      </c>
    </row>
    <row r="27" spans="1:12">
      <c r="A27" s="42">
        <v>10</v>
      </c>
      <c r="B27" s="24"/>
      <c r="C27" s="36" t="str">
        <f>IF(B27="","",VLOOKUP($B27,#REF!,2,FALSE))</f>
        <v/>
      </c>
      <c r="D27" s="47" t="str">
        <f>IF(B27="","",VLOOKUP($B27,#REF!,3,FALSE))</f>
        <v/>
      </c>
      <c r="E27" s="39" t="s">
        <v>5</v>
      </c>
      <c r="F27" s="25" t="s">
        <v>5</v>
      </c>
      <c r="G27" s="25" t="s">
        <v>5</v>
      </c>
      <c r="H27" s="25" t="s">
        <v>5</v>
      </c>
      <c r="I27" s="25" t="s">
        <v>5</v>
      </c>
      <c r="J27" s="25" t="s">
        <v>5</v>
      </c>
      <c r="K27" s="25" t="s">
        <v>5</v>
      </c>
      <c r="L27" s="30">
        <f t="shared" si="0"/>
        <v>0</v>
      </c>
    </row>
    <row r="28" spans="1:12">
      <c r="A28" s="42">
        <v>11</v>
      </c>
      <c r="B28" s="24"/>
      <c r="C28" s="36" t="str">
        <f>IF(B28="","",VLOOKUP($B28,#REF!,2,FALSE))</f>
        <v/>
      </c>
      <c r="D28" s="47" t="str">
        <f>IF(B28="","",VLOOKUP($B28,#REF!,3,FALSE))</f>
        <v/>
      </c>
      <c r="E28" s="39" t="s">
        <v>5</v>
      </c>
      <c r="F28" s="25" t="s">
        <v>5</v>
      </c>
      <c r="G28" s="25" t="s">
        <v>5</v>
      </c>
      <c r="H28" s="25" t="s">
        <v>5</v>
      </c>
      <c r="I28" s="25" t="s">
        <v>5</v>
      </c>
      <c r="J28" s="25" t="s">
        <v>5</v>
      </c>
      <c r="K28" s="25" t="s">
        <v>5</v>
      </c>
      <c r="L28" s="30">
        <f t="shared" si="0"/>
        <v>0</v>
      </c>
    </row>
    <row r="29" spans="1:12">
      <c r="A29" s="42">
        <v>12</v>
      </c>
      <c r="B29" s="24"/>
      <c r="C29" s="36" t="str">
        <f>IF(B29="","",VLOOKUP($B29,#REF!,2,FALSE))</f>
        <v/>
      </c>
      <c r="D29" s="47" t="str">
        <f>IF(B29="","",VLOOKUP($B29,#REF!,3,FALSE))</f>
        <v/>
      </c>
      <c r="E29" s="39" t="s">
        <v>5</v>
      </c>
      <c r="F29" s="25" t="s">
        <v>5</v>
      </c>
      <c r="G29" s="25" t="s">
        <v>5</v>
      </c>
      <c r="H29" s="25" t="s">
        <v>5</v>
      </c>
      <c r="I29" s="25" t="s">
        <v>5</v>
      </c>
      <c r="J29" s="25" t="s">
        <v>5</v>
      </c>
      <c r="K29" s="25" t="s">
        <v>5</v>
      </c>
      <c r="L29" s="30">
        <f t="shared" si="0"/>
        <v>0</v>
      </c>
    </row>
    <row r="30" spans="1:12">
      <c r="A30" s="42">
        <v>13</v>
      </c>
      <c r="B30" s="24"/>
      <c r="C30" s="36" t="str">
        <f>IF(B30="","",VLOOKUP($B30,#REF!,2,FALSE))</f>
        <v/>
      </c>
      <c r="D30" s="47" t="str">
        <f>IF(B30="","",VLOOKUP($B30,#REF!,3,FALSE))</f>
        <v/>
      </c>
      <c r="E30" s="39" t="s">
        <v>5</v>
      </c>
      <c r="F30" s="25" t="s">
        <v>5</v>
      </c>
      <c r="G30" s="25" t="s">
        <v>5</v>
      </c>
      <c r="H30" s="25" t="s">
        <v>5</v>
      </c>
      <c r="I30" s="25" t="s">
        <v>5</v>
      </c>
      <c r="J30" s="25" t="s">
        <v>5</v>
      </c>
      <c r="K30" s="25" t="s">
        <v>5</v>
      </c>
      <c r="L30" s="30">
        <f t="shared" si="0"/>
        <v>0</v>
      </c>
    </row>
    <row r="31" spans="1:12">
      <c r="A31" s="42">
        <v>14</v>
      </c>
      <c r="B31" s="24"/>
      <c r="C31" s="36" t="str">
        <f>IF(B31="","",VLOOKUP($B31,#REF!,2,FALSE))</f>
        <v/>
      </c>
      <c r="D31" s="47" t="str">
        <f>IF(B31="","",VLOOKUP($B31,#REF!,3,FALSE))</f>
        <v/>
      </c>
      <c r="E31" s="39" t="s">
        <v>5</v>
      </c>
      <c r="F31" s="25" t="s">
        <v>5</v>
      </c>
      <c r="G31" s="25" t="s">
        <v>5</v>
      </c>
      <c r="H31" s="25" t="s">
        <v>5</v>
      </c>
      <c r="I31" s="25" t="s">
        <v>5</v>
      </c>
      <c r="J31" s="25" t="s">
        <v>5</v>
      </c>
      <c r="K31" s="25" t="s">
        <v>5</v>
      </c>
      <c r="L31" s="30">
        <f t="shared" si="0"/>
        <v>0</v>
      </c>
    </row>
    <row r="32" spans="1:12">
      <c r="A32" s="42">
        <v>15</v>
      </c>
      <c r="B32" s="24"/>
      <c r="C32" s="36" t="str">
        <f>IF(B32="","",VLOOKUP($B32,#REF!,2,FALSE))</f>
        <v/>
      </c>
      <c r="D32" s="47" t="str">
        <f>IF(B32="","",VLOOKUP($B32,#REF!,3,FALSE))</f>
        <v/>
      </c>
      <c r="E32" s="39" t="s">
        <v>5</v>
      </c>
      <c r="F32" s="25" t="s">
        <v>5</v>
      </c>
      <c r="G32" s="25" t="s">
        <v>5</v>
      </c>
      <c r="H32" s="25" t="s">
        <v>5</v>
      </c>
      <c r="I32" s="25" t="s">
        <v>5</v>
      </c>
      <c r="J32" s="25" t="s">
        <v>5</v>
      </c>
      <c r="K32" s="25" t="s">
        <v>5</v>
      </c>
      <c r="L32" s="30">
        <f t="shared" si="0"/>
        <v>0</v>
      </c>
    </row>
    <row r="33" spans="1:12">
      <c r="A33" s="42">
        <v>16</v>
      </c>
      <c r="B33" s="24"/>
      <c r="C33" s="36" t="str">
        <f>IF(B33="","",VLOOKUP($B33,#REF!,2,FALSE))</f>
        <v/>
      </c>
      <c r="D33" s="47" t="str">
        <f>IF(B33="","",VLOOKUP($B33,#REF!,3,FALSE))</f>
        <v/>
      </c>
      <c r="E33" s="39" t="s">
        <v>5</v>
      </c>
      <c r="F33" s="25" t="s">
        <v>5</v>
      </c>
      <c r="G33" s="25" t="s">
        <v>5</v>
      </c>
      <c r="H33" s="25" t="s">
        <v>5</v>
      </c>
      <c r="I33" s="25" t="s">
        <v>5</v>
      </c>
      <c r="J33" s="25" t="s">
        <v>5</v>
      </c>
      <c r="K33" s="25" t="s">
        <v>5</v>
      </c>
      <c r="L33" s="30">
        <f t="shared" si="0"/>
        <v>0</v>
      </c>
    </row>
    <row r="34" spans="1:12">
      <c r="A34" s="42">
        <v>17</v>
      </c>
      <c r="B34" s="24"/>
      <c r="C34" s="36" t="str">
        <f>IF(B34="","",VLOOKUP($B34,#REF!,2,FALSE))</f>
        <v/>
      </c>
      <c r="D34" s="47" t="str">
        <f>IF(B34="","",VLOOKUP($B34,#REF!,3,FALSE))</f>
        <v/>
      </c>
      <c r="E34" s="39" t="s">
        <v>5</v>
      </c>
      <c r="F34" s="25" t="s">
        <v>5</v>
      </c>
      <c r="G34" s="25" t="s">
        <v>5</v>
      </c>
      <c r="H34" s="25" t="s">
        <v>5</v>
      </c>
      <c r="I34" s="25" t="s">
        <v>5</v>
      </c>
      <c r="J34" s="25" t="s">
        <v>5</v>
      </c>
      <c r="K34" s="25" t="s">
        <v>5</v>
      </c>
      <c r="L34" s="30">
        <f t="shared" si="0"/>
        <v>0</v>
      </c>
    </row>
    <row r="35" spans="1:12">
      <c r="A35" s="42">
        <v>18</v>
      </c>
      <c r="B35" s="24"/>
      <c r="C35" s="36" t="str">
        <f>IF(B35="","",VLOOKUP($B35,#REF!,2,FALSE))</f>
        <v/>
      </c>
      <c r="D35" s="47" t="str">
        <f>IF(B35="","",VLOOKUP($B35,#REF!,3,FALSE))</f>
        <v/>
      </c>
      <c r="E35" s="39" t="s">
        <v>5</v>
      </c>
      <c r="F35" s="25" t="s">
        <v>5</v>
      </c>
      <c r="G35" s="25" t="s">
        <v>5</v>
      </c>
      <c r="H35" s="25" t="s">
        <v>5</v>
      </c>
      <c r="I35" s="25" t="s">
        <v>5</v>
      </c>
      <c r="J35" s="25" t="s">
        <v>5</v>
      </c>
      <c r="K35" s="25" t="s">
        <v>5</v>
      </c>
      <c r="L35" s="30">
        <f t="shared" si="0"/>
        <v>0</v>
      </c>
    </row>
    <row r="36" spans="1:12">
      <c r="A36" s="42">
        <v>19</v>
      </c>
      <c r="B36" s="24"/>
      <c r="C36" s="36" t="str">
        <f>IF(B36="","",VLOOKUP($B36,#REF!,2,FALSE))</f>
        <v/>
      </c>
      <c r="D36" s="47" t="str">
        <f>IF(B36="","",VLOOKUP($B36,#REF!,3,FALSE))</f>
        <v/>
      </c>
      <c r="E36" s="39" t="s">
        <v>5</v>
      </c>
      <c r="F36" s="25" t="s">
        <v>5</v>
      </c>
      <c r="G36" s="25" t="s">
        <v>5</v>
      </c>
      <c r="H36" s="25" t="s">
        <v>5</v>
      </c>
      <c r="I36" s="25" t="s">
        <v>5</v>
      </c>
      <c r="J36" s="25" t="s">
        <v>5</v>
      </c>
      <c r="K36" s="25" t="s">
        <v>5</v>
      </c>
      <c r="L36" s="30">
        <f t="shared" si="0"/>
        <v>0</v>
      </c>
    </row>
    <row r="37" spans="1:12" ht="16.2" thickBot="1">
      <c r="A37" s="43">
        <v>20</v>
      </c>
      <c r="B37" s="26"/>
      <c r="C37" s="37" t="str">
        <f>IF(B37="","",VLOOKUP($B37,#REF!,2,FALSE))</f>
        <v/>
      </c>
      <c r="D37" s="48" t="str">
        <f>IF(B37="","",VLOOKUP($B37,#REF!,3,FALSE))</f>
        <v/>
      </c>
      <c r="E37" s="40" t="s">
        <v>5</v>
      </c>
      <c r="F37" s="27" t="s">
        <v>5</v>
      </c>
      <c r="G37" s="27" t="s">
        <v>5</v>
      </c>
      <c r="H37" s="27" t="s">
        <v>5</v>
      </c>
      <c r="I37" s="27" t="s">
        <v>5</v>
      </c>
      <c r="J37" s="27" t="s">
        <v>5</v>
      </c>
      <c r="K37" s="27" t="s">
        <v>5</v>
      </c>
      <c r="L37" s="31">
        <f t="shared" si="0"/>
        <v>0</v>
      </c>
    </row>
  </sheetData>
  <mergeCells count="5">
    <mergeCell ref="A1:L1"/>
    <mergeCell ref="A2:L3"/>
    <mergeCell ref="B5:C5"/>
    <mergeCell ref="H5:I5"/>
    <mergeCell ref="A16:B16"/>
  </mergeCells>
  <phoneticPr fontId="6" type="noConversion"/>
  <dataValidations count="5">
    <dataValidation type="list" allowBlank="1" showInputMessage="1" showErrorMessage="1" sqref="B10">
      <formula1>Actividades</formula1>
    </dataValidation>
    <dataValidation type="list" allowBlank="1" showInputMessage="1" showErrorMessage="1" sqref="B5:C5">
      <formula1>Supervisores</formula1>
    </dataValidation>
    <dataValidation type="list" allowBlank="1" showInputMessage="1" showErrorMessage="1" sqref="L5">
      <formula1>Semanas</formula1>
    </dataValidation>
    <dataValidation type="list" allowBlank="1" showInputMessage="1" showErrorMessage="1" sqref="B18:B37">
      <formula1>Contratistas</formula1>
    </dataValidation>
    <dataValidation type="list" allowBlank="1" showInputMessage="1" showErrorMessage="1" sqref="B13">
      <formula1>Lotes</formula1>
    </dataValidation>
  </dataValidations>
  <printOptions horizontalCentered="1" verticalCentered="1"/>
  <pageMargins left="0.55000000000000004" right="0.55000000000000004" top="1" bottom="1" header="0.5" footer="0.5"/>
  <pageSetup scale="79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ignoredErrors>
    <ignoredError sqref="C18:D37 D14 B14 H5" emptyCellReference="1"/>
  </ignoredErrors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pageSetUpPr fitToPage="1"/>
  </sheetPr>
  <dimension ref="A1:P28"/>
  <sheetViews>
    <sheetView view="pageLayout" topLeftCell="A4" workbookViewId="0">
      <selection activeCell="A2" sqref="A2:P3"/>
    </sheetView>
  </sheetViews>
  <sheetFormatPr defaultColWidth="11.19921875" defaultRowHeight="15.6"/>
  <cols>
    <col min="1" max="1" width="10" style="28" customWidth="1"/>
    <col min="2" max="2" width="10.796875" style="28"/>
    <col min="3" max="3" width="12.19921875" style="28" customWidth="1"/>
    <col min="4" max="6" width="10.796875" style="28"/>
    <col min="7" max="7" width="11.19921875" style="28" customWidth="1"/>
    <col min="8" max="10" width="10.796875" style="28"/>
    <col min="11" max="11" width="11.296875" customWidth="1"/>
  </cols>
  <sheetData>
    <row r="1" spans="1:16">
      <c r="A1" s="298" t="s">
        <v>32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5" customHeight="1">
      <c r="A2" s="299" t="s">
        <v>33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</row>
    <row r="3" spans="1:16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</row>
    <row r="4" spans="1:16" ht="21">
      <c r="A4" s="1"/>
      <c r="B4" s="1"/>
      <c r="C4" s="1"/>
      <c r="D4" s="1"/>
      <c r="E4" s="1"/>
      <c r="F4" s="1"/>
      <c r="G4" s="1"/>
      <c r="H4" s="1"/>
      <c r="I4" s="1"/>
      <c r="J4" s="1"/>
      <c r="L4" s="2"/>
    </row>
    <row r="5" spans="1:16">
      <c r="A5" s="3" t="s">
        <v>1</v>
      </c>
      <c r="B5" s="311"/>
      <c r="C5" s="311"/>
      <c r="D5" s="311"/>
      <c r="E5" s="4"/>
      <c r="F5"/>
      <c r="H5" s="7" t="s">
        <v>24</v>
      </c>
      <c r="I5" s="88" t="str">
        <f>IF($N$5="","",VLOOKUP($N$5,#REF!,2,FALSE))</f>
        <v/>
      </c>
      <c r="J5" s="87"/>
      <c r="M5" s="7" t="s">
        <v>3</v>
      </c>
      <c r="N5" s="21"/>
    </row>
    <row r="6" spans="1:16">
      <c r="A6" s="3"/>
      <c r="B6"/>
      <c r="C6"/>
      <c r="D6"/>
      <c r="E6"/>
      <c r="F6"/>
      <c r="G6"/>
      <c r="J6"/>
    </row>
    <row r="7" spans="1:16">
      <c r="A7" s="53" t="s">
        <v>6</v>
      </c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10"/>
      <c r="N7" s="10"/>
      <c r="O7" s="10"/>
      <c r="P7" s="11"/>
    </row>
    <row r="8" spans="1:16">
      <c r="A8" s="57"/>
      <c r="B8" s="89"/>
      <c r="C8" s="69"/>
      <c r="D8" s="69"/>
      <c r="E8" s="69"/>
      <c r="F8" s="69"/>
      <c r="G8" s="69"/>
      <c r="H8" s="69"/>
      <c r="I8" s="69"/>
      <c r="J8" s="69"/>
      <c r="K8" s="69"/>
      <c r="L8" s="69"/>
      <c r="M8" s="2"/>
      <c r="N8" s="2"/>
      <c r="O8" s="2"/>
      <c r="P8" s="13"/>
    </row>
    <row r="9" spans="1:16">
      <c r="A9" s="50" t="s">
        <v>7</v>
      </c>
      <c r="B9" s="68"/>
      <c r="C9" s="114"/>
      <c r="D9" s="2"/>
      <c r="E9" s="2"/>
      <c r="F9" s="69"/>
      <c r="G9" s="69"/>
      <c r="H9" s="69"/>
      <c r="I9" s="69"/>
      <c r="J9" s="69"/>
      <c r="K9" s="69"/>
      <c r="L9" s="69"/>
      <c r="M9" s="2"/>
      <c r="N9" s="2"/>
      <c r="O9" s="2"/>
      <c r="P9" s="13"/>
    </row>
    <row r="10" spans="1:16">
      <c r="A10" s="51" t="s">
        <v>31</v>
      </c>
      <c r="B10" s="296" t="str">
        <f>IF($B$9="","",VLOOKUP($B$9,#REF!,11,FALSE))</f>
        <v/>
      </c>
      <c r="C10" s="296"/>
      <c r="D10" s="67" t="s">
        <v>8</v>
      </c>
      <c r="E10" s="67" t="str">
        <f>IF($B$9="","",VLOOKUP($B$9,#REF!,10,FALSE))</f>
        <v/>
      </c>
      <c r="F10" s="122" t="s">
        <v>74</v>
      </c>
      <c r="G10" s="61" t="s">
        <v>9</v>
      </c>
      <c r="H10" s="62"/>
      <c r="I10" s="63"/>
      <c r="J10" s="64" t="s">
        <v>10</v>
      </c>
      <c r="K10" s="64"/>
      <c r="L10" s="63"/>
      <c r="M10" s="4"/>
      <c r="N10" s="21" t="s">
        <v>78</v>
      </c>
      <c r="O10" s="4"/>
      <c r="P10" s="17"/>
    </row>
    <row r="11" spans="1:16" ht="16.2" thickBot="1">
      <c r="A11" s="22"/>
      <c r="B11" s="15"/>
      <c r="C11" s="23"/>
      <c r="D11" s="23"/>
      <c r="E11" s="15"/>
      <c r="F11" s="15"/>
      <c r="G11" s="23"/>
      <c r="H11" s="15"/>
      <c r="I11" s="2"/>
      <c r="J11" s="2"/>
      <c r="K11" s="2"/>
    </row>
    <row r="12" spans="1:16">
      <c r="A12" s="302" t="s">
        <v>12</v>
      </c>
      <c r="B12" s="304" t="s">
        <v>34</v>
      </c>
      <c r="C12" s="305"/>
      <c r="D12" s="304" t="s">
        <v>15</v>
      </c>
      <c r="E12" s="305"/>
      <c r="F12" s="304" t="s">
        <v>16</v>
      </c>
      <c r="G12" s="305"/>
      <c r="H12" s="304" t="s">
        <v>17</v>
      </c>
      <c r="I12" s="305"/>
      <c r="J12" s="304" t="s">
        <v>18</v>
      </c>
      <c r="K12" s="305"/>
      <c r="L12" s="304" t="s">
        <v>19</v>
      </c>
      <c r="M12" s="305"/>
      <c r="N12" s="304" t="s">
        <v>20</v>
      </c>
      <c r="O12" s="305"/>
      <c r="P12" s="302" t="s">
        <v>22</v>
      </c>
    </row>
    <row r="13" spans="1:16" ht="16.2" thickBot="1">
      <c r="A13" s="303"/>
      <c r="B13" s="306"/>
      <c r="C13" s="307"/>
      <c r="D13" s="118" t="s">
        <v>35</v>
      </c>
      <c r="E13" s="119" t="s">
        <v>36</v>
      </c>
      <c r="F13" s="118" t="s">
        <v>35</v>
      </c>
      <c r="G13" s="119" t="s">
        <v>36</v>
      </c>
      <c r="H13" s="118" t="s">
        <v>35</v>
      </c>
      <c r="I13" s="119" t="s">
        <v>36</v>
      </c>
      <c r="J13" s="118" t="s">
        <v>35</v>
      </c>
      <c r="K13" s="119" t="s">
        <v>36</v>
      </c>
      <c r="L13" s="118" t="s">
        <v>35</v>
      </c>
      <c r="M13" s="119" t="s">
        <v>36</v>
      </c>
      <c r="N13" s="118" t="s">
        <v>35</v>
      </c>
      <c r="O13" s="119" t="s">
        <v>36</v>
      </c>
      <c r="P13" s="303"/>
    </row>
    <row r="14" spans="1:16" ht="28.05" customHeight="1">
      <c r="A14" s="70">
        <v>1</v>
      </c>
      <c r="B14" s="314" t="s">
        <v>37</v>
      </c>
      <c r="C14" s="315"/>
      <c r="D14" s="71" t="s">
        <v>35</v>
      </c>
      <c r="E14" s="72"/>
      <c r="F14" s="71" t="s">
        <v>35</v>
      </c>
      <c r="G14" s="72"/>
      <c r="H14" s="71" t="s">
        <v>35</v>
      </c>
      <c r="I14" s="72"/>
      <c r="J14" s="71" t="s">
        <v>35</v>
      </c>
      <c r="K14" s="72"/>
      <c r="L14" s="71" t="s">
        <v>35</v>
      </c>
      <c r="M14" s="73"/>
      <c r="N14" s="71" t="s">
        <v>35</v>
      </c>
      <c r="O14" s="73"/>
      <c r="P14" s="74"/>
    </row>
    <row r="15" spans="1:16" ht="28.05" customHeight="1">
      <c r="A15" s="75">
        <v>2</v>
      </c>
      <c r="B15" s="312" t="s">
        <v>26</v>
      </c>
      <c r="C15" s="313"/>
      <c r="D15" s="77" t="s">
        <v>38</v>
      </c>
      <c r="E15" s="78"/>
      <c r="F15" s="77" t="s">
        <v>38</v>
      </c>
      <c r="G15" s="78"/>
      <c r="H15" s="77" t="s">
        <v>38</v>
      </c>
      <c r="I15" s="78"/>
      <c r="J15" s="77" t="s">
        <v>38</v>
      </c>
      <c r="K15" s="78"/>
      <c r="L15" s="77" t="s">
        <v>38</v>
      </c>
      <c r="M15" s="79"/>
      <c r="N15" s="77" t="s">
        <v>38</v>
      </c>
      <c r="O15" s="79"/>
      <c r="P15" s="80"/>
    </row>
    <row r="16" spans="1:16" ht="28.05" customHeight="1">
      <c r="A16" s="75">
        <v>3</v>
      </c>
      <c r="B16" s="312" t="s">
        <v>39</v>
      </c>
      <c r="C16" s="313"/>
      <c r="D16" s="77" t="s">
        <v>38</v>
      </c>
      <c r="E16" s="78"/>
      <c r="F16" s="77" t="s">
        <v>38</v>
      </c>
      <c r="G16" s="78"/>
      <c r="H16" s="77" t="s">
        <v>38</v>
      </c>
      <c r="I16" s="78"/>
      <c r="J16" s="77" t="s">
        <v>38</v>
      </c>
      <c r="K16" s="78"/>
      <c r="L16" s="77" t="s">
        <v>38</v>
      </c>
      <c r="M16" s="79"/>
      <c r="N16" s="77" t="s">
        <v>38</v>
      </c>
      <c r="O16" s="79"/>
      <c r="P16" s="80"/>
    </row>
    <row r="17" spans="1:16" ht="28.05" customHeight="1">
      <c r="A17" s="75">
        <v>4</v>
      </c>
      <c r="B17" s="312" t="s">
        <v>40</v>
      </c>
      <c r="C17" s="313"/>
      <c r="D17" s="77" t="s">
        <v>38</v>
      </c>
      <c r="E17" s="78"/>
      <c r="F17" s="77" t="s">
        <v>38</v>
      </c>
      <c r="G17" s="78"/>
      <c r="H17" s="77" t="s">
        <v>38</v>
      </c>
      <c r="I17" s="78"/>
      <c r="J17" s="77" t="s">
        <v>38</v>
      </c>
      <c r="K17" s="78"/>
      <c r="L17" s="77" t="s">
        <v>38</v>
      </c>
      <c r="M17" s="79"/>
      <c r="N17" s="77" t="s">
        <v>38</v>
      </c>
      <c r="O17" s="79"/>
      <c r="P17" s="80"/>
    </row>
    <row r="18" spans="1:16" ht="28.05" customHeight="1">
      <c r="A18" s="75">
        <v>5</v>
      </c>
      <c r="B18" s="312" t="s">
        <v>41</v>
      </c>
      <c r="C18" s="313"/>
      <c r="D18" s="77" t="s">
        <v>35</v>
      </c>
      <c r="E18" s="78"/>
      <c r="F18" s="77" t="s">
        <v>35</v>
      </c>
      <c r="G18" s="78"/>
      <c r="H18" s="77" t="s">
        <v>35</v>
      </c>
      <c r="I18" s="78"/>
      <c r="J18" s="77" t="s">
        <v>35</v>
      </c>
      <c r="K18" s="78"/>
      <c r="L18" s="77" t="s">
        <v>35</v>
      </c>
      <c r="M18" s="79"/>
      <c r="N18" s="77" t="s">
        <v>35</v>
      </c>
      <c r="O18" s="79"/>
      <c r="P18" s="80"/>
    </row>
    <row r="19" spans="1:16" ht="28.05" customHeight="1">
      <c r="A19" s="75">
        <v>6</v>
      </c>
      <c r="B19" s="312" t="s">
        <v>42</v>
      </c>
      <c r="C19" s="313"/>
      <c r="D19" s="77" t="s">
        <v>35</v>
      </c>
      <c r="E19" s="78"/>
      <c r="F19" s="77" t="s">
        <v>35</v>
      </c>
      <c r="G19" s="78"/>
      <c r="H19" s="77" t="s">
        <v>35</v>
      </c>
      <c r="I19" s="78"/>
      <c r="J19" s="77" t="s">
        <v>35</v>
      </c>
      <c r="K19" s="78"/>
      <c r="L19" s="77" t="s">
        <v>35</v>
      </c>
      <c r="M19" s="79"/>
      <c r="N19" s="77" t="s">
        <v>35</v>
      </c>
      <c r="O19" s="79"/>
      <c r="P19" s="80"/>
    </row>
    <row r="20" spans="1:16" ht="28.05" customHeight="1">
      <c r="A20" s="75">
        <v>7</v>
      </c>
      <c r="B20" s="312" t="s">
        <v>43</v>
      </c>
      <c r="C20" s="313"/>
      <c r="D20" s="77" t="s">
        <v>35</v>
      </c>
      <c r="E20" s="78"/>
      <c r="F20" s="77" t="s">
        <v>35</v>
      </c>
      <c r="G20" s="78"/>
      <c r="H20" s="77" t="s">
        <v>35</v>
      </c>
      <c r="I20" s="78"/>
      <c r="J20" s="77" t="s">
        <v>35</v>
      </c>
      <c r="K20" s="78"/>
      <c r="L20" s="77" t="s">
        <v>35</v>
      </c>
      <c r="M20" s="79"/>
      <c r="N20" s="77" t="s">
        <v>35</v>
      </c>
      <c r="O20" s="79"/>
      <c r="P20" s="80"/>
    </row>
    <row r="21" spans="1:16" ht="28.05" customHeight="1">
      <c r="A21" s="75">
        <v>8</v>
      </c>
      <c r="B21" s="312" t="s">
        <v>44</v>
      </c>
      <c r="C21" s="313"/>
      <c r="D21" s="77" t="s">
        <v>38</v>
      </c>
      <c r="E21" s="78"/>
      <c r="F21" s="77" t="s">
        <v>38</v>
      </c>
      <c r="G21" s="78"/>
      <c r="H21" s="77" t="s">
        <v>38</v>
      </c>
      <c r="I21" s="78"/>
      <c r="J21" s="77" t="s">
        <v>38</v>
      </c>
      <c r="K21" s="78"/>
      <c r="L21" s="77" t="s">
        <v>38</v>
      </c>
      <c r="M21" s="79"/>
      <c r="N21" s="77" t="s">
        <v>38</v>
      </c>
      <c r="O21" s="79"/>
      <c r="P21" s="80"/>
    </row>
    <row r="22" spans="1:16" ht="28.05" customHeight="1">
      <c r="A22" s="75">
        <v>9</v>
      </c>
      <c r="B22" s="312" t="s">
        <v>45</v>
      </c>
      <c r="C22" s="313"/>
      <c r="D22" s="77" t="s">
        <v>35</v>
      </c>
      <c r="E22" s="78"/>
      <c r="F22" s="77" t="s">
        <v>35</v>
      </c>
      <c r="G22" s="78"/>
      <c r="H22" s="77" t="s">
        <v>35</v>
      </c>
      <c r="I22" s="78"/>
      <c r="J22" s="77" t="s">
        <v>35</v>
      </c>
      <c r="K22" s="78"/>
      <c r="L22" s="77" t="s">
        <v>35</v>
      </c>
      <c r="M22" s="79"/>
      <c r="N22" s="77" t="s">
        <v>35</v>
      </c>
      <c r="O22" s="79"/>
      <c r="P22" s="80"/>
    </row>
    <row r="23" spans="1:16" ht="28.05" customHeight="1">
      <c r="A23" s="75">
        <v>10</v>
      </c>
      <c r="B23" s="312" t="s">
        <v>46</v>
      </c>
      <c r="C23" s="313"/>
      <c r="D23" s="77" t="s">
        <v>35</v>
      </c>
      <c r="E23" s="78"/>
      <c r="F23" s="77" t="s">
        <v>35</v>
      </c>
      <c r="G23" s="78"/>
      <c r="H23" s="77" t="s">
        <v>35</v>
      </c>
      <c r="I23" s="78"/>
      <c r="J23" s="77" t="s">
        <v>35</v>
      </c>
      <c r="K23" s="78"/>
      <c r="L23" s="77" t="s">
        <v>35</v>
      </c>
      <c r="M23" s="79"/>
      <c r="N23" s="77" t="s">
        <v>35</v>
      </c>
      <c r="O23" s="79"/>
      <c r="P23" s="80"/>
    </row>
    <row r="24" spans="1:16" ht="28.05" customHeight="1">
      <c r="A24" s="75">
        <v>11</v>
      </c>
      <c r="B24" s="312" t="s">
        <v>47</v>
      </c>
      <c r="C24" s="313"/>
      <c r="D24" s="77" t="s">
        <v>35</v>
      </c>
      <c r="E24" s="78"/>
      <c r="F24" s="77" t="s">
        <v>35</v>
      </c>
      <c r="G24" s="78"/>
      <c r="H24" s="77" t="s">
        <v>35</v>
      </c>
      <c r="I24" s="78"/>
      <c r="J24" s="77" t="s">
        <v>35</v>
      </c>
      <c r="K24" s="78"/>
      <c r="L24" s="77" t="s">
        <v>35</v>
      </c>
      <c r="M24" s="79"/>
      <c r="N24" s="77" t="s">
        <v>35</v>
      </c>
      <c r="O24" s="79"/>
      <c r="P24" s="80"/>
    </row>
    <row r="25" spans="1:16" ht="28.05" customHeight="1">
      <c r="A25" s="75">
        <v>12</v>
      </c>
      <c r="B25" s="312" t="s">
        <v>48</v>
      </c>
      <c r="C25" s="313"/>
      <c r="D25" s="77" t="s">
        <v>35</v>
      </c>
      <c r="E25" s="78"/>
      <c r="F25" s="77" t="s">
        <v>35</v>
      </c>
      <c r="G25" s="78"/>
      <c r="H25" s="77" t="s">
        <v>35</v>
      </c>
      <c r="I25" s="78"/>
      <c r="J25" s="77" t="s">
        <v>35</v>
      </c>
      <c r="K25" s="78"/>
      <c r="L25" s="77" t="s">
        <v>35</v>
      </c>
      <c r="M25" s="79"/>
      <c r="N25" s="77" t="s">
        <v>35</v>
      </c>
      <c r="O25" s="79"/>
      <c r="P25" s="80"/>
    </row>
    <row r="26" spans="1:16" ht="28.05" customHeight="1" thickBot="1">
      <c r="A26" s="81">
        <v>13</v>
      </c>
      <c r="B26" s="308" t="s">
        <v>49</v>
      </c>
      <c r="C26" s="309"/>
      <c r="D26" s="82" t="s">
        <v>35</v>
      </c>
      <c r="E26" s="83"/>
      <c r="F26" s="82" t="s">
        <v>35</v>
      </c>
      <c r="G26" s="83"/>
      <c r="H26" s="82" t="s">
        <v>35</v>
      </c>
      <c r="I26" s="83"/>
      <c r="J26" s="82" t="s">
        <v>35</v>
      </c>
      <c r="K26" s="83"/>
      <c r="L26" s="82" t="s">
        <v>35</v>
      </c>
      <c r="M26" s="84"/>
      <c r="N26" s="82" t="s">
        <v>35</v>
      </c>
      <c r="O26" s="84"/>
      <c r="P26" s="85"/>
    </row>
    <row r="27" spans="1:16">
      <c r="B27" s="310"/>
      <c r="C27" s="310"/>
    </row>
    <row r="28" spans="1:16">
      <c r="B28" s="310"/>
      <c r="C28" s="310"/>
    </row>
  </sheetData>
  <mergeCells count="28">
    <mergeCell ref="B26:C26"/>
    <mergeCell ref="B27:C27"/>
    <mergeCell ref="B28:C28"/>
    <mergeCell ref="B5:D5"/>
    <mergeCell ref="B19:C19"/>
    <mergeCell ref="B20:C20"/>
    <mergeCell ref="B21:C21"/>
    <mergeCell ref="B22:C22"/>
    <mergeCell ref="B23:C23"/>
    <mergeCell ref="B24:C24"/>
    <mergeCell ref="B18:C18"/>
    <mergeCell ref="B14:C14"/>
    <mergeCell ref="B15:C15"/>
    <mergeCell ref="B16:C16"/>
    <mergeCell ref="B17:C17"/>
    <mergeCell ref="B25:C25"/>
    <mergeCell ref="A1:P1"/>
    <mergeCell ref="A2:P3"/>
    <mergeCell ref="A12:A13"/>
    <mergeCell ref="B12:C13"/>
    <mergeCell ref="D12:E12"/>
    <mergeCell ref="F12:G12"/>
    <mergeCell ref="H12:I12"/>
    <mergeCell ref="J12:K12"/>
    <mergeCell ref="L12:M12"/>
    <mergeCell ref="N12:O12"/>
    <mergeCell ref="B10:C10"/>
    <mergeCell ref="P12:P13"/>
  </mergeCells>
  <phoneticPr fontId="6" type="noConversion"/>
  <dataValidations count="3">
    <dataValidation type="list" allowBlank="1" showInputMessage="1" showErrorMessage="1" sqref="B5:D5">
      <formula1>Supervisores</formula1>
    </dataValidation>
    <dataValidation type="list" allowBlank="1" showInputMessage="1" showErrorMessage="1" sqref="N5">
      <formula1>Semanas</formula1>
    </dataValidation>
    <dataValidation type="list" allowBlank="1" showInputMessage="1" showErrorMessage="1" sqref="B9">
      <formula1>Lotes</formula1>
    </dataValidation>
  </dataValidations>
  <printOptions horizontalCentered="1" verticalCentered="1"/>
  <pageMargins left="0.67125984251968507" right="0.67125984251968507" top="0.8" bottom="0.8" header="0.5" footer="0.5"/>
  <pageSetup paperSize="5" scale="82" orientation="landscape" horizontalDpi="4294967292" verticalDpi="4294967292" r:id="rId1"/>
  <headerFooter>
    <oddHeader>&amp;L&amp;"Cambria,Regular"&amp;19&amp;K000000TH Reforestación_x000D_&amp;11Nit: 900.525.504-9_x000D_</oddHeader>
    <oddFooter>&amp;R&amp;"Calibri,Regular"&amp;K000000_x000D__x000D_&amp;G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P29"/>
  <sheetViews>
    <sheetView view="pageLayout" topLeftCell="A3" workbookViewId="0">
      <selection activeCell="A2" sqref="A2:P3"/>
    </sheetView>
  </sheetViews>
  <sheetFormatPr defaultColWidth="11.19921875" defaultRowHeight="15.6"/>
  <cols>
    <col min="1" max="1" width="10" style="28" customWidth="1"/>
    <col min="2" max="2" width="10.796875" style="28"/>
    <col min="3" max="3" width="12.19921875" style="28" customWidth="1"/>
    <col min="4" max="6" width="10.796875" style="28"/>
    <col min="7" max="7" width="11.19921875" style="28" customWidth="1"/>
    <col min="8" max="10" width="10.796875" style="28"/>
    <col min="11" max="11" width="11.296875" customWidth="1"/>
  </cols>
  <sheetData>
    <row r="1" spans="1:16">
      <c r="A1" s="316" t="s">
        <v>50</v>
      </c>
      <c r="B1" s="316"/>
      <c r="C1" s="316"/>
      <c r="D1" s="316"/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</row>
    <row r="2" spans="1:16" ht="15" customHeight="1">
      <c r="A2" s="317" t="s">
        <v>51</v>
      </c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</row>
    <row r="3" spans="1:16" ht="15" customHeight="1">
      <c r="A3" s="317"/>
      <c r="B3" s="317"/>
      <c r="C3" s="317"/>
      <c r="D3" s="317"/>
      <c r="E3" s="317"/>
      <c r="F3" s="317"/>
      <c r="G3" s="317"/>
      <c r="H3" s="317"/>
      <c r="I3" s="317"/>
      <c r="J3" s="317"/>
      <c r="K3" s="317"/>
      <c r="L3" s="317"/>
      <c r="M3" s="317"/>
      <c r="N3" s="317"/>
      <c r="O3" s="317"/>
      <c r="P3" s="317"/>
    </row>
    <row r="4" spans="1:16" ht="21">
      <c r="A4" s="1"/>
      <c r="B4" s="1"/>
      <c r="C4" s="1"/>
      <c r="D4" s="1"/>
      <c r="E4" s="1"/>
      <c r="F4" s="1"/>
      <c r="G4" s="1"/>
      <c r="H4" s="1"/>
      <c r="I4" s="1"/>
      <c r="J4" s="1"/>
      <c r="L4" s="2"/>
    </row>
    <row r="5" spans="1:16">
      <c r="A5" s="3" t="s">
        <v>1</v>
      </c>
      <c r="B5" s="311"/>
      <c r="C5" s="311"/>
      <c r="D5" s="311"/>
      <c r="E5" s="4"/>
      <c r="F5"/>
      <c r="H5" s="7" t="s">
        <v>24</v>
      </c>
      <c r="I5" s="88" t="str">
        <f>IF($N$5="","",VLOOKUP($N$5,#REF!,2,FALSE))</f>
        <v/>
      </c>
      <c r="J5" s="87"/>
      <c r="M5" s="7" t="s">
        <v>3</v>
      </c>
      <c r="N5" s="21"/>
    </row>
    <row r="6" spans="1:16">
      <c r="A6" s="3"/>
      <c r="B6"/>
      <c r="C6"/>
      <c r="D6"/>
      <c r="E6"/>
      <c r="F6"/>
      <c r="G6"/>
      <c r="J6"/>
    </row>
    <row r="7" spans="1:16">
      <c r="A7" s="53" t="s">
        <v>6</v>
      </c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10"/>
      <c r="N7" s="10"/>
      <c r="O7" s="10"/>
      <c r="P7" s="11"/>
    </row>
    <row r="8" spans="1:16">
      <c r="A8" s="57"/>
      <c r="B8" s="89"/>
      <c r="C8" s="69"/>
      <c r="D8" s="69"/>
      <c r="E8" s="69"/>
      <c r="F8" s="69"/>
      <c r="G8" s="69"/>
      <c r="H8" s="69"/>
      <c r="I8" s="69"/>
      <c r="J8" s="69"/>
      <c r="K8" s="69"/>
      <c r="L8" s="69"/>
      <c r="M8" s="2"/>
      <c r="N8" s="2"/>
      <c r="O8" s="2"/>
      <c r="P8" s="13"/>
    </row>
    <row r="9" spans="1:16">
      <c r="A9" s="50" t="s">
        <v>7</v>
      </c>
      <c r="B9" s="68"/>
      <c r="C9" s="114"/>
      <c r="D9" s="2"/>
      <c r="E9" s="2"/>
      <c r="F9" s="69"/>
      <c r="G9" s="69"/>
      <c r="H9" s="69"/>
      <c r="I9" s="69"/>
      <c r="J9" s="69"/>
      <c r="K9" s="69"/>
      <c r="L9" s="69"/>
      <c r="M9" s="2"/>
      <c r="N9" s="2"/>
      <c r="O9" s="2"/>
      <c r="P9" s="13"/>
    </row>
    <row r="10" spans="1:16">
      <c r="A10" s="51" t="s">
        <v>31</v>
      </c>
      <c r="B10" s="296" t="str">
        <f>IF($B$9="","",VLOOKUP($B$9,#REF!,11,FALSE))</f>
        <v/>
      </c>
      <c r="C10" s="296"/>
      <c r="D10" s="67" t="s">
        <v>8</v>
      </c>
      <c r="E10" s="67" t="str">
        <f>IF($B$9="","",VLOOKUP($B$9,#REF!,10,FALSE))</f>
        <v/>
      </c>
      <c r="F10" s="122" t="s">
        <v>74</v>
      </c>
      <c r="G10" s="61" t="s">
        <v>9</v>
      </c>
      <c r="H10" s="62"/>
      <c r="I10" s="63"/>
      <c r="J10" s="64" t="s">
        <v>10</v>
      </c>
      <c r="K10" s="64"/>
      <c r="L10" s="63"/>
      <c r="M10" s="4"/>
      <c r="N10" s="21" t="s">
        <v>78</v>
      </c>
      <c r="O10" s="4"/>
      <c r="P10" s="17"/>
    </row>
    <row r="11" spans="1:16" ht="16.2" thickBot="1">
      <c r="A11" s="22"/>
      <c r="B11" s="15"/>
      <c r="C11" s="23"/>
      <c r="D11" s="23"/>
      <c r="E11" s="15"/>
      <c r="F11" s="15"/>
      <c r="G11" s="23"/>
      <c r="H11" s="15"/>
      <c r="I11" s="2"/>
      <c r="J11" s="2"/>
      <c r="K11" s="2"/>
    </row>
    <row r="12" spans="1:16">
      <c r="A12" s="302" t="s">
        <v>12</v>
      </c>
      <c r="B12" s="304" t="s">
        <v>34</v>
      </c>
      <c r="C12" s="305"/>
      <c r="D12" s="304" t="s">
        <v>15</v>
      </c>
      <c r="E12" s="305"/>
      <c r="F12" s="304" t="s">
        <v>16</v>
      </c>
      <c r="G12" s="305"/>
      <c r="H12" s="304" t="s">
        <v>17</v>
      </c>
      <c r="I12" s="305"/>
      <c r="J12" s="304" t="s">
        <v>18</v>
      </c>
      <c r="K12" s="305"/>
      <c r="L12" s="304" t="s">
        <v>19</v>
      </c>
      <c r="M12" s="305"/>
      <c r="N12" s="304" t="s">
        <v>20</v>
      </c>
      <c r="O12" s="305"/>
      <c r="P12" s="302" t="s">
        <v>22</v>
      </c>
    </row>
    <row r="13" spans="1:16" ht="16.2" thickBot="1">
      <c r="A13" s="303"/>
      <c r="B13" s="306"/>
      <c r="C13" s="307"/>
      <c r="D13" s="188" t="s">
        <v>35</v>
      </c>
      <c r="E13" s="189" t="s">
        <v>36</v>
      </c>
      <c r="F13" s="188" t="s">
        <v>35</v>
      </c>
      <c r="G13" s="189" t="s">
        <v>36</v>
      </c>
      <c r="H13" s="188" t="s">
        <v>35</v>
      </c>
      <c r="I13" s="189" t="s">
        <v>36</v>
      </c>
      <c r="J13" s="188" t="s">
        <v>35</v>
      </c>
      <c r="K13" s="189" t="s">
        <v>36</v>
      </c>
      <c r="L13" s="188" t="s">
        <v>35</v>
      </c>
      <c r="M13" s="189" t="s">
        <v>36</v>
      </c>
      <c r="N13" s="188" t="s">
        <v>35</v>
      </c>
      <c r="O13" s="189" t="s">
        <v>36</v>
      </c>
      <c r="P13" s="303"/>
    </row>
    <row r="14" spans="1:16" ht="28.05" customHeight="1">
      <c r="A14" s="70">
        <v>1</v>
      </c>
      <c r="B14" s="314" t="s">
        <v>27</v>
      </c>
      <c r="C14" s="315"/>
      <c r="D14" s="190" t="s">
        <v>35</v>
      </c>
      <c r="E14" s="91"/>
      <c r="F14" s="190" t="s">
        <v>35</v>
      </c>
      <c r="G14" s="91"/>
      <c r="H14" s="190" t="s">
        <v>35</v>
      </c>
      <c r="I14" s="91"/>
      <c r="J14" s="190" t="s">
        <v>35</v>
      </c>
      <c r="K14" s="91"/>
      <c r="L14" s="190" t="s">
        <v>35</v>
      </c>
      <c r="M14" s="92"/>
      <c r="N14" s="190" t="s">
        <v>35</v>
      </c>
      <c r="O14" s="92"/>
      <c r="P14" s="93"/>
    </row>
    <row r="15" spans="1:16" ht="28.05" customHeight="1">
      <c r="A15" s="70">
        <v>2</v>
      </c>
      <c r="B15" s="318" t="s">
        <v>101</v>
      </c>
      <c r="C15" s="319"/>
      <c r="D15" s="187" t="s">
        <v>35</v>
      </c>
      <c r="E15" s="72"/>
      <c r="F15" s="187" t="s">
        <v>35</v>
      </c>
      <c r="G15" s="72"/>
      <c r="H15" s="187" t="s">
        <v>35</v>
      </c>
      <c r="I15" s="72"/>
      <c r="J15" s="187" t="s">
        <v>35</v>
      </c>
      <c r="K15" s="72"/>
      <c r="L15" s="187" t="s">
        <v>35</v>
      </c>
      <c r="M15" s="73"/>
      <c r="N15" s="187" t="s">
        <v>35</v>
      </c>
      <c r="O15" s="73"/>
      <c r="P15" s="74"/>
    </row>
    <row r="16" spans="1:16" ht="28.05" customHeight="1">
      <c r="A16" s="75">
        <v>3</v>
      </c>
      <c r="B16" s="318" t="s">
        <v>52</v>
      </c>
      <c r="C16" s="319"/>
      <c r="D16" s="185" t="s">
        <v>38</v>
      </c>
      <c r="E16" s="78"/>
      <c r="F16" s="185" t="s">
        <v>38</v>
      </c>
      <c r="G16" s="78"/>
      <c r="H16" s="185" t="s">
        <v>38</v>
      </c>
      <c r="I16" s="78"/>
      <c r="J16" s="185" t="s">
        <v>38</v>
      </c>
      <c r="K16" s="78"/>
      <c r="L16" s="185" t="s">
        <v>38</v>
      </c>
      <c r="M16" s="79"/>
      <c r="N16" s="185" t="s">
        <v>38</v>
      </c>
      <c r="O16" s="79"/>
      <c r="P16" s="80"/>
    </row>
    <row r="17" spans="1:16" ht="28.05" customHeight="1">
      <c r="A17" s="75">
        <v>4</v>
      </c>
      <c r="B17" s="312" t="s">
        <v>53</v>
      </c>
      <c r="C17" s="313"/>
      <c r="D17" s="185" t="s">
        <v>38</v>
      </c>
      <c r="E17" s="78"/>
      <c r="F17" s="185" t="s">
        <v>38</v>
      </c>
      <c r="G17" s="78"/>
      <c r="H17" s="185" t="s">
        <v>38</v>
      </c>
      <c r="I17" s="78"/>
      <c r="J17" s="185" t="s">
        <v>38</v>
      </c>
      <c r="K17" s="78"/>
      <c r="L17" s="185" t="s">
        <v>38</v>
      </c>
      <c r="M17" s="79"/>
      <c r="N17" s="185" t="s">
        <v>38</v>
      </c>
      <c r="O17" s="79"/>
      <c r="P17" s="80"/>
    </row>
    <row r="18" spans="1:16" ht="28.05" customHeight="1">
      <c r="A18" s="75">
        <v>5</v>
      </c>
      <c r="B18" s="312" t="s">
        <v>54</v>
      </c>
      <c r="C18" s="313"/>
      <c r="D18" s="185" t="s">
        <v>38</v>
      </c>
      <c r="E18" s="78"/>
      <c r="F18" s="185" t="s">
        <v>38</v>
      </c>
      <c r="G18" s="78"/>
      <c r="H18" s="185" t="s">
        <v>38</v>
      </c>
      <c r="I18" s="78"/>
      <c r="J18" s="185" t="s">
        <v>38</v>
      </c>
      <c r="K18" s="78"/>
      <c r="L18" s="185" t="s">
        <v>38</v>
      </c>
      <c r="M18" s="79"/>
      <c r="N18" s="185" t="s">
        <v>38</v>
      </c>
      <c r="O18" s="79"/>
      <c r="P18" s="80"/>
    </row>
    <row r="19" spans="1:16" ht="28.05" customHeight="1">
      <c r="A19" s="75">
        <v>6</v>
      </c>
      <c r="B19" s="312" t="s">
        <v>55</v>
      </c>
      <c r="C19" s="313"/>
      <c r="D19" s="185" t="s">
        <v>35</v>
      </c>
      <c r="E19" s="78"/>
      <c r="F19" s="185" t="s">
        <v>35</v>
      </c>
      <c r="G19" s="78"/>
      <c r="H19" s="185" t="s">
        <v>35</v>
      </c>
      <c r="I19" s="78"/>
      <c r="J19" s="185" t="s">
        <v>35</v>
      </c>
      <c r="K19" s="78"/>
      <c r="L19" s="185" t="s">
        <v>35</v>
      </c>
      <c r="M19" s="79"/>
      <c r="N19" s="185" t="s">
        <v>35</v>
      </c>
      <c r="O19" s="79"/>
      <c r="P19" s="80"/>
    </row>
    <row r="20" spans="1:16" ht="28.05" customHeight="1">
      <c r="A20" s="75">
        <v>7</v>
      </c>
      <c r="B20" s="312" t="s">
        <v>56</v>
      </c>
      <c r="C20" s="313"/>
      <c r="D20" s="185" t="s">
        <v>35</v>
      </c>
      <c r="E20" s="78"/>
      <c r="F20" s="185" t="s">
        <v>35</v>
      </c>
      <c r="G20" s="78"/>
      <c r="H20" s="185" t="s">
        <v>35</v>
      </c>
      <c r="I20" s="78"/>
      <c r="J20" s="185" t="s">
        <v>35</v>
      </c>
      <c r="K20" s="78"/>
      <c r="L20" s="185" t="s">
        <v>35</v>
      </c>
      <c r="M20" s="79"/>
      <c r="N20" s="185" t="s">
        <v>35</v>
      </c>
      <c r="O20" s="79"/>
      <c r="P20" s="80"/>
    </row>
    <row r="21" spans="1:16" ht="28.05" customHeight="1">
      <c r="A21" s="75">
        <v>8</v>
      </c>
      <c r="B21" s="312" t="s">
        <v>43</v>
      </c>
      <c r="C21" s="313"/>
      <c r="D21" s="185" t="s">
        <v>35</v>
      </c>
      <c r="E21" s="78"/>
      <c r="F21" s="185" t="s">
        <v>35</v>
      </c>
      <c r="G21" s="78"/>
      <c r="H21" s="185" t="s">
        <v>35</v>
      </c>
      <c r="I21" s="78"/>
      <c r="J21" s="185" t="s">
        <v>35</v>
      </c>
      <c r="K21" s="78"/>
      <c r="L21" s="185" t="s">
        <v>35</v>
      </c>
      <c r="M21" s="79"/>
      <c r="N21" s="185" t="s">
        <v>35</v>
      </c>
      <c r="O21" s="79"/>
      <c r="P21" s="80"/>
    </row>
    <row r="22" spans="1:16" ht="28.05" customHeight="1">
      <c r="A22" s="75">
        <v>9</v>
      </c>
      <c r="B22" s="312" t="s">
        <v>44</v>
      </c>
      <c r="C22" s="313"/>
      <c r="D22" s="185" t="s">
        <v>38</v>
      </c>
      <c r="E22" s="78"/>
      <c r="F22" s="185" t="s">
        <v>38</v>
      </c>
      <c r="G22" s="78"/>
      <c r="H22" s="185" t="s">
        <v>38</v>
      </c>
      <c r="I22" s="78"/>
      <c r="J22" s="185" t="s">
        <v>38</v>
      </c>
      <c r="K22" s="78"/>
      <c r="L22" s="185" t="s">
        <v>38</v>
      </c>
      <c r="M22" s="79"/>
      <c r="N22" s="185" t="s">
        <v>38</v>
      </c>
      <c r="O22" s="79"/>
      <c r="P22" s="80"/>
    </row>
    <row r="23" spans="1:16" ht="28.05" customHeight="1">
      <c r="A23" s="75">
        <v>10</v>
      </c>
      <c r="B23" s="312" t="s">
        <v>45</v>
      </c>
      <c r="C23" s="313"/>
      <c r="D23" s="185" t="s">
        <v>35</v>
      </c>
      <c r="E23" s="78"/>
      <c r="F23" s="185" t="s">
        <v>35</v>
      </c>
      <c r="G23" s="78"/>
      <c r="H23" s="185" t="s">
        <v>35</v>
      </c>
      <c r="I23" s="78"/>
      <c r="J23" s="185" t="s">
        <v>35</v>
      </c>
      <c r="K23" s="78"/>
      <c r="L23" s="185" t="s">
        <v>35</v>
      </c>
      <c r="M23" s="79"/>
      <c r="N23" s="185" t="s">
        <v>35</v>
      </c>
      <c r="O23" s="79"/>
      <c r="P23" s="80"/>
    </row>
    <row r="24" spans="1:16" ht="28.05" customHeight="1">
      <c r="A24" s="75">
        <v>11</v>
      </c>
      <c r="B24" s="312" t="s">
        <v>46</v>
      </c>
      <c r="C24" s="313"/>
      <c r="D24" s="185" t="s">
        <v>35</v>
      </c>
      <c r="E24" s="78"/>
      <c r="F24" s="185" t="s">
        <v>35</v>
      </c>
      <c r="G24" s="78"/>
      <c r="H24" s="185" t="s">
        <v>35</v>
      </c>
      <c r="I24" s="78"/>
      <c r="J24" s="185" t="s">
        <v>35</v>
      </c>
      <c r="K24" s="78"/>
      <c r="L24" s="185" t="s">
        <v>35</v>
      </c>
      <c r="M24" s="79"/>
      <c r="N24" s="185" t="s">
        <v>35</v>
      </c>
      <c r="O24" s="79"/>
      <c r="P24" s="80"/>
    </row>
    <row r="25" spans="1:16" ht="28.05" customHeight="1">
      <c r="A25" s="75">
        <v>12</v>
      </c>
      <c r="B25" s="312" t="s">
        <v>47</v>
      </c>
      <c r="C25" s="313"/>
      <c r="D25" s="185" t="s">
        <v>35</v>
      </c>
      <c r="E25" s="78"/>
      <c r="F25" s="185" t="s">
        <v>35</v>
      </c>
      <c r="G25" s="78"/>
      <c r="H25" s="185" t="s">
        <v>35</v>
      </c>
      <c r="I25" s="78"/>
      <c r="J25" s="185" t="s">
        <v>35</v>
      </c>
      <c r="K25" s="78"/>
      <c r="L25" s="185" t="s">
        <v>35</v>
      </c>
      <c r="M25" s="79"/>
      <c r="N25" s="185" t="s">
        <v>35</v>
      </c>
      <c r="O25" s="79"/>
      <c r="P25" s="80"/>
    </row>
    <row r="26" spans="1:16" ht="28.05" customHeight="1">
      <c r="A26" s="75">
        <v>13</v>
      </c>
      <c r="B26" s="312" t="s">
        <v>48</v>
      </c>
      <c r="C26" s="313"/>
      <c r="D26" s="185" t="s">
        <v>35</v>
      </c>
      <c r="E26" s="78"/>
      <c r="F26" s="185" t="s">
        <v>35</v>
      </c>
      <c r="G26" s="78"/>
      <c r="H26" s="185" t="s">
        <v>35</v>
      </c>
      <c r="I26" s="78"/>
      <c r="J26" s="185" t="s">
        <v>35</v>
      </c>
      <c r="K26" s="78"/>
      <c r="L26" s="185" t="s">
        <v>35</v>
      </c>
      <c r="M26" s="79"/>
      <c r="N26" s="185" t="s">
        <v>35</v>
      </c>
      <c r="O26" s="79"/>
      <c r="P26" s="80"/>
    </row>
    <row r="27" spans="1:16" ht="28.05" customHeight="1" thickBot="1">
      <c r="A27" s="81">
        <v>14</v>
      </c>
      <c r="B27" s="308" t="s">
        <v>49</v>
      </c>
      <c r="C27" s="309"/>
      <c r="D27" s="184" t="s">
        <v>35</v>
      </c>
      <c r="E27" s="83"/>
      <c r="F27" s="184" t="s">
        <v>35</v>
      </c>
      <c r="G27" s="83"/>
      <c r="H27" s="184" t="s">
        <v>35</v>
      </c>
      <c r="I27" s="83"/>
      <c r="J27" s="184" t="s">
        <v>35</v>
      </c>
      <c r="K27" s="83"/>
      <c r="L27" s="184" t="s">
        <v>35</v>
      </c>
      <c r="M27" s="84"/>
      <c r="N27" s="184" t="s">
        <v>35</v>
      </c>
      <c r="O27" s="84"/>
      <c r="P27" s="85"/>
    </row>
    <row r="28" spans="1:16">
      <c r="B28" s="310"/>
      <c r="C28" s="310"/>
    </row>
    <row r="29" spans="1:16">
      <c r="B29" s="310"/>
      <c r="C29" s="310"/>
    </row>
  </sheetData>
  <mergeCells count="29">
    <mergeCell ref="B25:C25"/>
    <mergeCell ref="B26:C26"/>
    <mergeCell ref="B27:C27"/>
    <mergeCell ref="B28:C28"/>
    <mergeCell ref="B29:C29"/>
    <mergeCell ref="B24:C24"/>
    <mergeCell ref="N12:O12"/>
    <mergeCell ref="P12:P13"/>
    <mergeCell ref="B14:C14"/>
    <mergeCell ref="B16:C16"/>
    <mergeCell ref="B17:C17"/>
    <mergeCell ref="B18:C18"/>
    <mergeCell ref="B19:C19"/>
    <mergeCell ref="B20:C20"/>
    <mergeCell ref="B21:C21"/>
    <mergeCell ref="B22:C22"/>
    <mergeCell ref="B23:C23"/>
    <mergeCell ref="B15:C15"/>
    <mergeCell ref="A1:P1"/>
    <mergeCell ref="A2:P3"/>
    <mergeCell ref="B5:D5"/>
    <mergeCell ref="A12:A13"/>
    <mergeCell ref="B12:C13"/>
    <mergeCell ref="D12:E12"/>
    <mergeCell ref="F12:G12"/>
    <mergeCell ref="H12:I12"/>
    <mergeCell ref="J12:K12"/>
    <mergeCell ref="L12:M12"/>
    <mergeCell ref="B10:C10"/>
  </mergeCells>
  <phoneticPr fontId="6" type="noConversion"/>
  <dataValidations count="3">
    <dataValidation type="list" allowBlank="1" showInputMessage="1" showErrorMessage="1" sqref="B9">
      <formula1>Lotes</formula1>
    </dataValidation>
    <dataValidation type="list" allowBlank="1" showInputMessage="1" showErrorMessage="1" sqref="N5">
      <formula1>Semanas</formula1>
    </dataValidation>
    <dataValidation type="list" allowBlank="1" showInputMessage="1" showErrorMessage="1" sqref="B5:D5">
      <formula1>Supervisores</formula1>
    </dataValidation>
  </dataValidations>
  <printOptions horizontalCentered="1" verticalCentered="1"/>
  <pageMargins left="0.67" right="0.67" top="0.8" bottom="0.8" header="0.5" footer="0.5"/>
  <pageSetup paperSize="5" scale="78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pageSetUpPr fitToPage="1"/>
  </sheetPr>
  <dimension ref="A1:P38"/>
  <sheetViews>
    <sheetView view="pageLayout" workbookViewId="0">
      <selection activeCell="A2" sqref="A2:P3"/>
    </sheetView>
  </sheetViews>
  <sheetFormatPr defaultColWidth="11.19921875" defaultRowHeight="15.6"/>
  <cols>
    <col min="1" max="1" width="10" style="28" customWidth="1"/>
    <col min="2" max="2" width="12.796875" style="28" customWidth="1"/>
    <col min="3" max="3" width="12.19921875" style="28" customWidth="1"/>
    <col min="4" max="6" width="10.796875" style="28"/>
    <col min="7" max="7" width="11.19921875" style="28" customWidth="1"/>
    <col min="8" max="8" width="11.5" style="28" customWidth="1"/>
    <col min="9" max="10" width="10.796875" style="28"/>
    <col min="11" max="11" width="11.296875" customWidth="1"/>
  </cols>
  <sheetData>
    <row r="1" spans="1:16">
      <c r="A1" s="298" t="s">
        <v>167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5" customHeight="1">
      <c r="A2" s="299" t="s">
        <v>57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</row>
    <row r="3" spans="1:16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</row>
    <row r="4" spans="1:16" ht="7.05" customHeight="1">
      <c r="A4" s="1"/>
      <c r="B4" s="1"/>
      <c r="C4" s="1"/>
      <c r="D4" s="1"/>
      <c r="E4" s="1"/>
      <c r="F4" s="1"/>
      <c r="G4" s="1"/>
      <c r="H4" s="1"/>
      <c r="I4" s="1"/>
      <c r="J4" s="1"/>
      <c r="L4" s="2"/>
    </row>
    <row r="5" spans="1:16">
      <c r="A5" s="3" t="s">
        <v>1</v>
      </c>
      <c r="B5" s="296"/>
      <c r="C5" s="296"/>
      <c r="D5" s="296"/>
      <c r="E5" s="4"/>
      <c r="F5"/>
      <c r="H5" s="7" t="s">
        <v>24</v>
      </c>
      <c r="I5" s="120" t="str">
        <f>IF($N$5="","",VLOOKUP($N$5,#REF!,2,FALSE))</f>
        <v/>
      </c>
      <c r="J5" s="87"/>
      <c r="M5" s="7" t="s">
        <v>3</v>
      </c>
      <c r="N5" s="21"/>
    </row>
    <row r="6" spans="1:16" ht="10.050000000000001" customHeight="1">
      <c r="A6" s="3"/>
      <c r="B6" s="23"/>
      <c r="C6" s="23"/>
      <c r="D6" s="23"/>
      <c r="E6" s="2"/>
      <c r="F6"/>
      <c r="G6" s="66"/>
      <c r="H6" s="7"/>
      <c r="I6" s="112"/>
      <c r="J6" s="113"/>
      <c r="M6" s="7"/>
      <c r="N6" s="114"/>
    </row>
    <row r="7" spans="1:16">
      <c r="A7" s="3" t="s">
        <v>70</v>
      </c>
      <c r="B7" s="296"/>
      <c r="C7" s="296"/>
      <c r="D7" s="115" t="s">
        <v>71</v>
      </c>
      <c r="E7" s="2"/>
      <c r="F7" s="301" t="s">
        <v>72</v>
      </c>
      <c r="G7" s="301"/>
      <c r="H7" s="67" t="str">
        <f>IF($B$7="","",VLOOKUP($B$7,#REF!,3,FALSE))</f>
        <v/>
      </c>
      <c r="I7" s="67" t="str">
        <f>IF($B$7="","",VLOOKUP($B$7,#REF!,4,FALSE))</f>
        <v/>
      </c>
      <c r="J7" s="115"/>
      <c r="L7" s="301" t="s">
        <v>73</v>
      </c>
      <c r="M7" s="301"/>
      <c r="N7" s="296" t="str">
        <f>IF($B$7="","",VLOOKUP($B$7,#REF!,8,FALSE))</f>
        <v/>
      </c>
      <c r="O7" s="296"/>
    </row>
    <row r="8" spans="1:16">
      <c r="A8" s="3"/>
      <c r="B8"/>
      <c r="C8"/>
      <c r="D8"/>
      <c r="E8"/>
      <c r="F8"/>
      <c r="G8"/>
      <c r="J8"/>
    </row>
    <row r="9" spans="1:16">
      <c r="A9" s="53" t="s">
        <v>6</v>
      </c>
      <c r="B9" s="54"/>
      <c r="C9" s="55"/>
      <c r="D9" s="55"/>
      <c r="E9" s="55"/>
      <c r="F9" s="55"/>
      <c r="G9" s="55"/>
      <c r="H9" s="55"/>
      <c r="I9" s="55"/>
      <c r="J9" s="55"/>
      <c r="K9" s="55"/>
      <c r="L9" s="55"/>
      <c r="M9" s="10"/>
      <c r="N9" s="10"/>
      <c r="O9" s="10"/>
      <c r="P9" s="11"/>
    </row>
    <row r="10" spans="1:16" ht="13.05" customHeight="1">
      <c r="A10" s="57"/>
      <c r="B10" s="8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2"/>
      <c r="N10" s="2"/>
      <c r="O10" s="2"/>
      <c r="P10" s="13"/>
    </row>
    <row r="11" spans="1:16">
      <c r="A11" s="50" t="s">
        <v>7</v>
      </c>
      <c r="B11" s="68"/>
      <c r="C11" s="114"/>
      <c r="D11" s="2"/>
      <c r="E11" s="2"/>
      <c r="F11" s="69"/>
      <c r="G11" s="69"/>
      <c r="H11" s="69"/>
      <c r="I11" s="69"/>
      <c r="J11" s="69"/>
      <c r="K11" s="69"/>
      <c r="L11" s="69"/>
      <c r="M11" s="2"/>
      <c r="N11" s="2"/>
      <c r="O11" s="2"/>
      <c r="P11" s="13"/>
    </row>
    <row r="12" spans="1:16">
      <c r="A12" s="51" t="s">
        <v>31</v>
      </c>
      <c r="B12" s="296" t="str">
        <f>IF($B$11="","",VLOOKUP($B$11,#REF!,11,FALSE))</f>
        <v/>
      </c>
      <c r="C12" s="296"/>
      <c r="D12" s="67" t="s">
        <v>8</v>
      </c>
      <c r="E12" s="67" t="str">
        <f>IF($B$11="","",VLOOKUP($B$11,#REF!,10,FALSE))</f>
        <v/>
      </c>
      <c r="F12" s="122" t="s">
        <v>74</v>
      </c>
      <c r="G12" s="61" t="s">
        <v>9</v>
      </c>
      <c r="H12" s="62"/>
      <c r="I12" s="63"/>
      <c r="J12" s="64" t="s">
        <v>10</v>
      </c>
      <c r="K12" s="64"/>
      <c r="L12" s="63"/>
      <c r="M12" s="4"/>
      <c r="N12" s="21" t="s">
        <v>78</v>
      </c>
      <c r="O12" s="4"/>
      <c r="P12" s="17"/>
    </row>
    <row r="13" spans="1:16" ht="13.05" customHeight="1">
      <c r="A13" s="22"/>
      <c r="B13" s="15"/>
      <c r="C13" s="23"/>
      <c r="D13" s="23"/>
      <c r="E13" s="15"/>
      <c r="F13" s="15"/>
      <c r="G13" s="23"/>
      <c r="H13" s="15"/>
      <c r="I13" s="2"/>
      <c r="J13" s="2"/>
      <c r="K13" s="2"/>
    </row>
    <row r="14" spans="1:16" ht="16.2" thickBot="1">
      <c r="A14" s="335" t="s">
        <v>58</v>
      </c>
      <c r="B14" s="335"/>
      <c r="C14" s="94"/>
      <c r="D14" s="94"/>
      <c r="E14" s="96"/>
      <c r="F14" s="96"/>
      <c r="G14" s="94"/>
      <c r="H14" s="96"/>
      <c r="I14" s="32"/>
      <c r="J14" s="32"/>
      <c r="K14" s="32"/>
      <c r="L14" s="32"/>
      <c r="M14" s="32"/>
      <c r="N14" s="32"/>
      <c r="O14" s="32"/>
      <c r="P14" s="32"/>
    </row>
    <row r="15" spans="1:16" ht="12" customHeight="1">
      <c r="A15" s="329" t="s">
        <v>12</v>
      </c>
      <c r="B15" s="336" t="s">
        <v>34</v>
      </c>
      <c r="C15" s="327"/>
      <c r="D15" s="326" t="s">
        <v>15</v>
      </c>
      <c r="E15" s="327"/>
      <c r="F15" s="326" t="s">
        <v>16</v>
      </c>
      <c r="G15" s="327"/>
      <c r="H15" s="326" t="s">
        <v>17</v>
      </c>
      <c r="I15" s="327"/>
      <c r="J15" s="326" t="s">
        <v>18</v>
      </c>
      <c r="K15" s="327"/>
      <c r="L15" s="326" t="s">
        <v>19</v>
      </c>
      <c r="M15" s="327"/>
      <c r="N15" s="326" t="s">
        <v>20</v>
      </c>
      <c r="O15" s="328"/>
      <c r="P15" s="329" t="s">
        <v>22</v>
      </c>
    </row>
    <row r="16" spans="1:16" ht="13.95" customHeight="1" thickBot="1">
      <c r="A16" s="330"/>
      <c r="B16" s="337"/>
      <c r="C16" s="338"/>
      <c r="D16" s="116" t="s">
        <v>35</v>
      </c>
      <c r="E16" s="117" t="s">
        <v>36</v>
      </c>
      <c r="F16" s="116" t="s">
        <v>35</v>
      </c>
      <c r="G16" s="117" t="s">
        <v>36</v>
      </c>
      <c r="H16" s="116" t="s">
        <v>35</v>
      </c>
      <c r="I16" s="117" t="s">
        <v>36</v>
      </c>
      <c r="J16" s="116" t="s">
        <v>35</v>
      </c>
      <c r="K16" s="117" t="s">
        <v>36</v>
      </c>
      <c r="L16" s="116" t="s">
        <v>35</v>
      </c>
      <c r="M16" s="117" t="s">
        <v>36</v>
      </c>
      <c r="N16" s="116" t="s">
        <v>35</v>
      </c>
      <c r="O16" s="117" t="s">
        <v>36</v>
      </c>
      <c r="P16" s="330"/>
    </row>
    <row r="17" spans="1:16" ht="25.95" customHeight="1">
      <c r="A17" s="97">
        <v>1</v>
      </c>
      <c r="B17" s="331" t="s">
        <v>60</v>
      </c>
      <c r="C17" s="332"/>
      <c r="D17" s="98" t="s">
        <v>102</v>
      </c>
      <c r="E17" s="99"/>
      <c r="F17" s="98" t="s">
        <v>102</v>
      </c>
      <c r="G17" s="99"/>
      <c r="H17" s="98" t="s">
        <v>102</v>
      </c>
      <c r="I17" s="99"/>
      <c r="J17" s="98" t="s">
        <v>102</v>
      </c>
      <c r="K17" s="99"/>
      <c r="L17" s="98" t="s">
        <v>102</v>
      </c>
      <c r="M17" s="100"/>
      <c r="N17" s="98" t="s">
        <v>102</v>
      </c>
      <c r="O17" s="100"/>
      <c r="P17" s="100"/>
    </row>
    <row r="18" spans="1:16" ht="25.95" customHeight="1">
      <c r="A18" s="97">
        <v>2</v>
      </c>
      <c r="B18" s="331" t="s">
        <v>61</v>
      </c>
      <c r="C18" s="332"/>
      <c r="D18" s="98" t="s">
        <v>38</v>
      </c>
      <c r="E18" s="99"/>
      <c r="F18" s="98" t="s">
        <v>38</v>
      </c>
      <c r="G18" s="99"/>
      <c r="H18" s="98" t="s">
        <v>38</v>
      </c>
      <c r="I18" s="99"/>
      <c r="J18" s="98" t="s">
        <v>38</v>
      </c>
      <c r="K18" s="99"/>
      <c r="L18" s="98" t="s">
        <v>38</v>
      </c>
      <c r="M18" s="100"/>
      <c r="N18" s="98" t="s">
        <v>38</v>
      </c>
      <c r="O18" s="100"/>
      <c r="P18" s="100"/>
    </row>
    <row r="19" spans="1:16" ht="25.95" customHeight="1">
      <c r="A19" s="97">
        <v>3</v>
      </c>
      <c r="B19" s="331" t="s">
        <v>62</v>
      </c>
      <c r="C19" s="332"/>
      <c r="D19" s="98" t="s">
        <v>38</v>
      </c>
      <c r="E19" s="99"/>
      <c r="F19" s="98" t="s">
        <v>38</v>
      </c>
      <c r="G19" s="99"/>
      <c r="H19" s="98" t="s">
        <v>38</v>
      </c>
      <c r="I19" s="99"/>
      <c r="J19" s="98" t="s">
        <v>38</v>
      </c>
      <c r="K19" s="99"/>
      <c r="L19" s="98" t="s">
        <v>38</v>
      </c>
      <c r="M19" s="100"/>
      <c r="N19" s="98" t="s">
        <v>38</v>
      </c>
      <c r="O19" s="100"/>
      <c r="P19" s="100"/>
    </row>
    <row r="20" spans="1:16" ht="25.95" customHeight="1">
      <c r="A20" s="97">
        <v>4</v>
      </c>
      <c r="B20" s="331" t="s">
        <v>40</v>
      </c>
      <c r="C20" s="332"/>
      <c r="D20" s="98" t="s">
        <v>38</v>
      </c>
      <c r="E20" s="99"/>
      <c r="F20" s="98" t="s">
        <v>38</v>
      </c>
      <c r="G20" s="99"/>
      <c r="H20" s="98" t="s">
        <v>38</v>
      </c>
      <c r="I20" s="99"/>
      <c r="J20" s="98" t="s">
        <v>38</v>
      </c>
      <c r="K20" s="99"/>
      <c r="L20" s="98" t="s">
        <v>38</v>
      </c>
      <c r="M20" s="100"/>
      <c r="N20" s="98" t="s">
        <v>38</v>
      </c>
      <c r="O20" s="100"/>
      <c r="P20" s="100"/>
    </row>
    <row r="21" spans="1:16" ht="25.95" customHeight="1">
      <c r="A21" s="97">
        <v>5</v>
      </c>
      <c r="B21" s="331" t="s">
        <v>41</v>
      </c>
      <c r="C21" s="332"/>
      <c r="D21" s="98" t="s">
        <v>35</v>
      </c>
      <c r="E21" s="99"/>
      <c r="F21" s="98" t="s">
        <v>35</v>
      </c>
      <c r="G21" s="99"/>
      <c r="H21" s="98" t="s">
        <v>35</v>
      </c>
      <c r="I21" s="99"/>
      <c r="J21" s="98" t="s">
        <v>35</v>
      </c>
      <c r="K21" s="99"/>
      <c r="L21" s="98" t="s">
        <v>35</v>
      </c>
      <c r="M21" s="100"/>
      <c r="N21" s="98" t="s">
        <v>35</v>
      </c>
      <c r="O21" s="100"/>
      <c r="P21" s="100"/>
    </row>
    <row r="22" spans="1:16" ht="25.95" customHeight="1">
      <c r="A22" s="97">
        <v>6</v>
      </c>
      <c r="B22" s="331" t="s">
        <v>63</v>
      </c>
      <c r="C22" s="332"/>
      <c r="D22" s="98" t="s">
        <v>35</v>
      </c>
      <c r="E22" s="99"/>
      <c r="F22" s="98" t="s">
        <v>35</v>
      </c>
      <c r="G22" s="99"/>
      <c r="H22" s="98" t="s">
        <v>35</v>
      </c>
      <c r="I22" s="99"/>
      <c r="J22" s="98" t="s">
        <v>35</v>
      </c>
      <c r="K22" s="99"/>
      <c r="L22" s="98" t="s">
        <v>35</v>
      </c>
      <c r="M22" s="100"/>
      <c r="N22" s="98" t="s">
        <v>35</v>
      </c>
      <c r="O22" s="100"/>
      <c r="P22" s="100"/>
    </row>
    <row r="23" spans="1:16" ht="25.95" customHeight="1" thickBot="1">
      <c r="A23" s="101">
        <v>7</v>
      </c>
      <c r="B23" s="333" t="s">
        <v>42</v>
      </c>
      <c r="C23" s="334"/>
      <c r="D23" s="102" t="s">
        <v>35</v>
      </c>
      <c r="E23" s="103"/>
      <c r="F23" s="102" t="s">
        <v>35</v>
      </c>
      <c r="G23" s="103"/>
      <c r="H23" s="102" t="s">
        <v>35</v>
      </c>
      <c r="I23" s="103"/>
      <c r="J23" s="102" t="s">
        <v>35</v>
      </c>
      <c r="K23" s="103"/>
      <c r="L23" s="102" t="s">
        <v>35</v>
      </c>
      <c r="M23" s="104"/>
      <c r="N23" s="102" t="s">
        <v>35</v>
      </c>
      <c r="O23" s="104"/>
      <c r="P23" s="104"/>
    </row>
    <row r="24" spans="1:16" ht="13.05" customHeight="1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</row>
    <row r="25" spans="1:16" ht="19.95" customHeight="1">
      <c r="A25" s="95" t="s">
        <v>166</v>
      </c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</row>
    <row r="26" spans="1:16" ht="1.95" customHeight="1" thickBot="1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</row>
    <row r="27" spans="1:16" ht="12" customHeight="1">
      <c r="A27" s="322" t="s">
        <v>12</v>
      </c>
      <c r="B27" s="320" t="s">
        <v>34</v>
      </c>
      <c r="C27" s="321"/>
      <c r="D27" s="320" t="s">
        <v>15</v>
      </c>
      <c r="E27" s="321"/>
      <c r="F27" s="320" t="s">
        <v>16</v>
      </c>
      <c r="G27" s="321"/>
      <c r="H27" s="320" t="s">
        <v>17</v>
      </c>
      <c r="I27" s="321"/>
      <c r="J27" s="320" t="s">
        <v>18</v>
      </c>
      <c r="K27" s="321"/>
      <c r="L27" s="320" t="s">
        <v>19</v>
      </c>
      <c r="M27" s="321"/>
      <c r="N27" s="320" t="s">
        <v>20</v>
      </c>
      <c r="O27" s="321"/>
      <c r="P27" s="322" t="s">
        <v>22</v>
      </c>
    </row>
    <row r="28" spans="1:16" ht="15" customHeight="1" thickBot="1">
      <c r="A28" s="323"/>
      <c r="B28" s="345"/>
      <c r="C28" s="346"/>
      <c r="D28" s="252" t="s">
        <v>35</v>
      </c>
      <c r="E28" s="253" t="s">
        <v>36</v>
      </c>
      <c r="F28" s="252" t="s">
        <v>35</v>
      </c>
      <c r="G28" s="253" t="s">
        <v>36</v>
      </c>
      <c r="H28" s="252" t="s">
        <v>35</v>
      </c>
      <c r="I28" s="253" t="s">
        <v>36</v>
      </c>
      <c r="J28" s="252" t="s">
        <v>35</v>
      </c>
      <c r="K28" s="253" t="s">
        <v>36</v>
      </c>
      <c r="L28" s="252" t="s">
        <v>35</v>
      </c>
      <c r="M28" s="253" t="s">
        <v>36</v>
      </c>
      <c r="N28" s="252" t="s">
        <v>35</v>
      </c>
      <c r="O28" s="253" t="s">
        <v>36</v>
      </c>
      <c r="P28" s="323"/>
    </row>
    <row r="29" spans="1:16" ht="25.95" customHeight="1" thickBot="1">
      <c r="A29" s="256"/>
      <c r="B29" s="324"/>
      <c r="C29" s="325"/>
      <c r="D29" s="257"/>
      <c r="E29" s="258"/>
      <c r="F29" s="257"/>
      <c r="G29" s="258"/>
      <c r="H29" s="257"/>
      <c r="I29" s="258"/>
      <c r="J29" s="257"/>
      <c r="K29" s="258"/>
      <c r="L29" s="257"/>
      <c r="M29" s="259"/>
      <c r="N29" s="257"/>
      <c r="O29" s="259"/>
      <c r="P29" s="260"/>
    </row>
    <row r="30" spans="1:16" ht="13.05" customHeight="1">
      <c r="A30" s="254"/>
      <c r="B30" s="261"/>
      <c r="C30" s="261"/>
      <c r="D30" s="261"/>
      <c r="E30" s="262"/>
      <c r="F30" s="261"/>
      <c r="G30" s="262"/>
      <c r="H30" s="261"/>
      <c r="I30" s="262"/>
      <c r="J30" s="261"/>
      <c r="K30" s="262"/>
      <c r="L30" s="261"/>
      <c r="M30" s="263"/>
      <c r="N30" s="261"/>
      <c r="O30" s="263"/>
      <c r="P30" s="263"/>
    </row>
    <row r="31" spans="1:16" ht="18" customHeight="1">
      <c r="A31" s="45" t="s">
        <v>64</v>
      </c>
      <c r="B31" s="261"/>
      <c r="C31" s="261"/>
      <c r="D31" s="261"/>
      <c r="E31" s="262"/>
      <c r="F31" s="261"/>
      <c r="G31" s="262"/>
      <c r="H31" s="261"/>
      <c r="I31" s="262"/>
      <c r="J31" s="261"/>
      <c r="K31" s="262"/>
      <c r="L31" s="261"/>
      <c r="M31" s="263"/>
      <c r="N31" s="261"/>
      <c r="O31" s="263"/>
      <c r="P31" s="263"/>
    </row>
    <row r="32" spans="1:16" ht="3" customHeight="1" thickBot="1">
      <c r="A32" s="94"/>
      <c r="B32" s="94"/>
      <c r="C32" s="94"/>
      <c r="D32" s="94"/>
      <c r="E32" s="94"/>
      <c r="F32" s="94"/>
      <c r="G32" s="94"/>
      <c r="H32" s="32"/>
      <c r="I32" s="32"/>
      <c r="J32" s="32"/>
      <c r="K32" s="32"/>
      <c r="L32" s="32"/>
      <c r="M32" s="32"/>
      <c r="N32" s="32"/>
      <c r="O32" s="32"/>
      <c r="P32" s="32"/>
    </row>
    <row r="33" spans="1:16">
      <c r="A33" s="339" t="s">
        <v>12</v>
      </c>
      <c r="B33" s="341" t="s">
        <v>34</v>
      </c>
      <c r="C33" s="342"/>
      <c r="D33" s="358" t="s">
        <v>15</v>
      </c>
      <c r="E33" s="356" t="s">
        <v>16</v>
      </c>
      <c r="F33" s="356" t="s">
        <v>17</v>
      </c>
      <c r="G33" s="356" t="s">
        <v>18</v>
      </c>
      <c r="H33" s="356" t="s">
        <v>19</v>
      </c>
      <c r="I33" s="349" t="s">
        <v>20</v>
      </c>
      <c r="J33" s="341" t="s">
        <v>65</v>
      </c>
      <c r="K33" s="351"/>
      <c r="L33" s="351"/>
      <c r="M33" s="342"/>
      <c r="N33" s="32"/>
      <c r="O33" s="32"/>
      <c r="P33" s="32"/>
    </row>
    <row r="34" spans="1:16" ht="12" customHeight="1" thickBot="1">
      <c r="A34" s="340"/>
      <c r="B34" s="343"/>
      <c r="C34" s="344"/>
      <c r="D34" s="359"/>
      <c r="E34" s="357"/>
      <c r="F34" s="357"/>
      <c r="G34" s="357"/>
      <c r="H34" s="357"/>
      <c r="I34" s="350"/>
      <c r="J34" s="343"/>
      <c r="K34" s="352"/>
      <c r="L34" s="352"/>
      <c r="M34" s="344"/>
      <c r="N34" s="32"/>
      <c r="O34" s="32"/>
      <c r="P34" s="32"/>
    </row>
    <row r="35" spans="1:16" ht="27" customHeight="1">
      <c r="A35" s="105">
        <v>1</v>
      </c>
      <c r="B35" s="353" t="s">
        <v>66</v>
      </c>
      <c r="C35" s="354"/>
      <c r="D35" s="106" t="s">
        <v>5</v>
      </c>
      <c r="E35" s="106" t="s">
        <v>5</v>
      </c>
      <c r="F35" s="106" t="s">
        <v>5</v>
      </c>
      <c r="G35" s="106" t="s">
        <v>5</v>
      </c>
      <c r="H35" s="106" t="s">
        <v>5</v>
      </c>
      <c r="I35" s="107" t="s">
        <v>5</v>
      </c>
      <c r="J35" s="353"/>
      <c r="K35" s="355"/>
      <c r="L35" s="355"/>
      <c r="M35" s="354"/>
      <c r="N35" s="32"/>
      <c r="O35" s="32"/>
      <c r="P35" s="32"/>
    </row>
    <row r="36" spans="1:16" ht="27" customHeight="1">
      <c r="A36" s="97">
        <v>2</v>
      </c>
      <c r="B36" s="331" t="s">
        <v>67</v>
      </c>
      <c r="C36" s="332"/>
      <c r="D36" s="108" t="s">
        <v>5</v>
      </c>
      <c r="E36" s="108" t="s">
        <v>5</v>
      </c>
      <c r="F36" s="108" t="s">
        <v>5</v>
      </c>
      <c r="G36" s="108" t="s">
        <v>5</v>
      </c>
      <c r="H36" s="108" t="s">
        <v>5</v>
      </c>
      <c r="I36" s="109" t="s">
        <v>5</v>
      </c>
      <c r="J36" s="331"/>
      <c r="K36" s="347"/>
      <c r="L36" s="347"/>
      <c r="M36" s="332"/>
      <c r="N36" s="32"/>
      <c r="O36" s="32"/>
      <c r="P36" s="32"/>
    </row>
    <row r="37" spans="1:16" ht="27" customHeight="1">
      <c r="A37" s="97">
        <v>3</v>
      </c>
      <c r="B37" s="331" t="s">
        <v>68</v>
      </c>
      <c r="C37" s="332"/>
      <c r="D37" s="108" t="s">
        <v>5</v>
      </c>
      <c r="E37" s="108" t="s">
        <v>5</v>
      </c>
      <c r="F37" s="108" t="s">
        <v>5</v>
      </c>
      <c r="G37" s="108" t="s">
        <v>5</v>
      </c>
      <c r="H37" s="108" t="s">
        <v>5</v>
      </c>
      <c r="I37" s="109" t="s">
        <v>5</v>
      </c>
      <c r="J37" s="331"/>
      <c r="K37" s="347"/>
      <c r="L37" s="347"/>
      <c r="M37" s="332"/>
      <c r="N37" s="32"/>
      <c r="O37" s="32"/>
      <c r="P37" s="32"/>
    </row>
    <row r="38" spans="1:16" ht="27" customHeight="1" thickBot="1">
      <c r="A38" s="101">
        <v>4</v>
      </c>
      <c r="B38" s="333" t="s">
        <v>69</v>
      </c>
      <c r="C38" s="334"/>
      <c r="D38" s="110" t="s">
        <v>5</v>
      </c>
      <c r="E38" s="110" t="s">
        <v>5</v>
      </c>
      <c r="F38" s="110" t="s">
        <v>5</v>
      </c>
      <c r="G38" s="110" t="s">
        <v>5</v>
      </c>
      <c r="H38" s="110" t="s">
        <v>5</v>
      </c>
      <c r="I38" s="111" t="s">
        <v>5</v>
      </c>
      <c r="J38" s="333"/>
      <c r="K38" s="348"/>
      <c r="L38" s="348"/>
      <c r="M38" s="334"/>
      <c r="N38" s="32"/>
      <c r="O38" s="32"/>
      <c r="P38" s="32"/>
    </row>
  </sheetData>
  <mergeCells count="52">
    <mergeCell ref="J37:M37"/>
    <mergeCell ref="B38:C38"/>
    <mergeCell ref="J38:M38"/>
    <mergeCell ref="I33:I34"/>
    <mergeCell ref="J33:M34"/>
    <mergeCell ref="B35:C35"/>
    <mergeCell ref="J35:M35"/>
    <mergeCell ref="B36:C36"/>
    <mergeCell ref="J36:M36"/>
    <mergeCell ref="G33:G34"/>
    <mergeCell ref="H33:H34"/>
    <mergeCell ref="D33:D34"/>
    <mergeCell ref="E33:E34"/>
    <mergeCell ref="F33:F34"/>
    <mergeCell ref="A33:A34"/>
    <mergeCell ref="B33:C34"/>
    <mergeCell ref="B19:C19"/>
    <mergeCell ref="B20:C20"/>
    <mergeCell ref="B37:C37"/>
    <mergeCell ref="B21:C21"/>
    <mergeCell ref="A27:A28"/>
    <mergeCell ref="B27:C28"/>
    <mergeCell ref="B17:C17"/>
    <mergeCell ref="B18:C18"/>
    <mergeCell ref="B22:C22"/>
    <mergeCell ref="B23:C23"/>
    <mergeCell ref="B12:C12"/>
    <mergeCell ref="A14:B14"/>
    <mergeCell ref="A15:A16"/>
    <mergeCell ref="B15:C16"/>
    <mergeCell ref="L15:M15"/>
    <mergeCell ref="A1:P1"/>
    <mergeCell ref="A2:P3"/>
    <mergeCell ref="B5:D5"/>
    <mergeCell ref="F7:G7"/>
    <mergeCell ref="B7:C7"/>
    <mergeCell ref="L7:M7"/>
    <mergeCell ref="N7:O7"/>
    <mergeCell ref="N15:O15"/>
    <mergeCell ref="P15:P16"/>
    <mergeCell ref="F15:G15"/>
    <mergeCell ref="H15:I15"/>
    <mergeCell ref="D15:E15"/>
    <mergeCell ref="J15:K15"/>
    <mergeCell ref="N27:O27"/>
    <mergeCell ref="P27:P28"/>
    <mergeCell ref="B29:C29"/>
    <mergeCell ref="D27:E27"/>
    <mergeCell ref="F27:G27"/>
    <mergeCell ref="H27:I27"/>
    <mergeCell ref="J27:K27"/>
    <mergeCell ref="L27:M27"/>
  </mergeCells>
  <phoneticPr fontId="6" type="noConversion"/>
  <dataValidations count="4">
    <dataValidation type="list" allowBlank="1" showInputMessage="1" showErrorMessage="1" sqref="B5:D5">
      <formula1>Supervisores</formula1>
    </dataValidation>
    <dataValidation type="list" allowBlank="1" showInputMessage="1" showErrorMessage="1" sqref="N5">
      <formula1>Semanas</formula1>
    </dataValidation>
    <dataValidation type="list" allowBlank="1" showInputMessage="1" showErrorMessage="1" sqref="B11">
      <formula1>Lotes</formula1>
    </dataValidation>
    <dataValidation type="list" allowBlank="1" showInputMessage="1" showErrorMessage="1" sqref="B7:C7">
      <formula1>Equipos</formula1>
    </dataValidation>
  </dataValidations>
  <printOptions horizontalCentered="1" verticalCentered="1"/>
  <pageMargins left="0.67" right="0.67" top="0.68" bottom="0.60314960629921266" header="0.44" footer="0.5"/>
  <pageSetup paperSize="5" scale="78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ignoredErrors>
    <ignoredError sqref="I7 I5" emptyCellReference="1"/>
  </ignoredErrors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pageSetUpPr fitToPage="1"/>
  </sheetPr>
  <dimension ref="A1:S35"/>
  <sheetViews>
    <sheetView view="pageLayout" workbookViewId="0">
      <selection activeCell="A2" sqref="A2:P3"/>
    </sheetView>
  </sheetViews>
  <sheetFormatPr defaultColWidth="11.19921875" defaultRowHeight="15.6"/>
  <cols>
    <col min="1" max="1" width="10" style="66" customWidth="1"/>
    <col min="2" max="2" width="10.796875" style="66"/>
    <col min="3" max="3" width="12.19921875" style="66" customWidth="1"/>
    <col min="4" max="6" width="10.796875" style="66"/>
    <col min="7" max="7" width="11.19921875" style="66" customWidth="1"/>
    <col min="8" max="10" width="10.796875" style="66"/>
    <col min="11" max="11" width="11.296875" customWidth="1"/>
  </cols>
  <sheetData>
    <row r="1" spans="1:19">
      <c r="A1" s="298" t="s">
        <v>165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135"/>
      <c r="R1" s="135"/>
      <c r="S1" s="135"/>
    </row>
    <row r="2" spans="1:19" ht="15" customHeight="1">
      <c r="A2" s="299" t="s">
        <v>75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1"/>
      <c r="R2" s="1"/>
      <c r="S2" s="1"/>
    </row>
    <row r="3" spans="1:19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  <c r="Q3" s="1"/>
      <c r="R3" s="1"/>
      <c r="S3" s="1"/>
    </row>
    <row r="4" spans="1:19" ht="12" customHeight="1">
      <c r="A4" s="1"/>
      <c r="B4" s="1"/>
      <c r="C4" s="1"/>
      <c r="D4" s="1"/>
      <c r="E4" s="1"/>
      <c r="F4" s="1"/>
      <c r="G4" s="1"/>
      <c r="H4" s="1"/>
      <c r="I4" s="1"/>
      <c r="J4" s="1"/>
      <c r="L4" s="2"/>
    </row>
    <row r="5" spans="1:19">
      <c r="A5" s="3" t="s">
        <v>1</v>
      </c>
      <c r="B5" s="296"/>
      <c r="C5" s="296"/>
      <c r="D5" s="296"/>
      <c r="E5" s="4"/>
      <c r="F5"/>
      <c r="H5" s="7" t="s">
        <v>24</v>
      </c>
      <c r="I5" s="120" t="str">
        <f>IF($N$5="","",VLOOKUP($N$5,#REF!,2,FALSE))</f>
        <v/>
      </c>
      <c r="J5" s="87"/>
      <c r="M5" s="7" t="s">
        <v>3</v>
      </c>
      <c r="N5" s="21"/>
    </row>
    <row r="6" spans="1:19">
      <c r="A6" s="3"/>
      <c r="B6" s="23"/>
      <c r="C6" s="23"/>
      <c r="D6" s="23"/>
      <c r="E6" s="2"/>
      <c r="F6"/>
      <c r="H6" s="7"/>
      <c r="I6" s="112"/>
      <c r="J6" s="113"/>
      <c r="M6" s="7"/>
      <c r="N6" s="114"/>
    </row>
    <row r="7" spans="1:19">
      <c r="A7" s="3" t="s">
        <v>70</v>
      </c>
      <c r="B7" s="296"/>
      <c r="C7" s="296"/>
      <c r="D7" s="115" t="s">
        <v>71</v>
      </c>
      <c r="E7" s="2"/>
      <c r="F7" s="301" t="s">
        <v>72</v>
      </c>
      <c r="G7" s="301"/>
      <c r="H7" s="244" t="str">
        <f>IF($B$7="","",VLOOKUP($B$7,#REF!,3,FALSE))</f>
        <v/>
      </c>
      <c r="I7" s="244" t="str">
        <f>IF($B$7="","",VLOOKUP($B$7,#REF!,4,FALSE))</f>
        <v/>
      </c>
      <c r="J7" s="115"/>
      <c r="L7" s="301" t="s">
        <v>73</v>
      </c>
      <c r="M7" s="301"/>
      <c r="N7" s="296" t="str">
        <f>IF($B$7="","",VLOOKUP($B$7,#REF!,8,FALSE))</f>
        <v/>
      </c>
      <c r="O7" s="296"/>
    </row>
    <row r="8" spans="1:19">
      <c r="A8" s="3"/>
      <c r="B8"/>
      <c r="C8"/>
      <c r="D8"/>
      <c r="E8"/>
      <c r="F8"/>
      <c r="G8"/>
      <c r="J8"/>
    </row>
    <row r="9" spans="1:19">
      <c r="A9" s="53" t="s">
        <v>6</v>
      </c>
      <c r="B9" s="54"/>
      <c r="C9" s="55"/>
      <c r="D9" s="55"/>
      <c r="E9" s="55"/>
      <c r="F9" s="55"/>
      <c r="G9" s="55"/>
      <c r="H9" s="55"/>
      <c r="I9" s="55"/>
      <c r="J9" s="55"/>
      <c r="K9" s="55"/>
      <c r="L9" s="55"/>
      <c r="M9" s="10"/>
      <c r="N9" s="10"/>
      <c r="O9" s="10"/>
      <c r="P9" s="11"/>
    </row>
    <row r="10" spans="1:19" ht="7.95" customHeight="1">
      <c r="A10" s="57"/>
      <c r="B10" s="8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2"/>
      <c r="N10" s="2"/>
      <c r="O10" s="2"/>
      <c r="P10" s="13"/>
    </row>
    <row r="11" spans="1:19">
      <c r="A11" s="50" t="s">
        <v>7</v>
      </c>
      <c r="B11" s="15"/>
      <c r="C11" s="114"/>
      <c r="D11" s="2"/>
      <c r="E11" s="2"/>
      <c r="F11" s="69"/>
      <c r="G11" s="69"/>
      <c r="H11" s="69"/>
      <c r="I11" s="69"/>
      <c r="J11" s="69"/>
      <c r="K11" s="69"/>
      <c r="L11" s="69"/>
      <c r="M11" s="2"/>
      <c r="N11" s="2"/>
      <c r="O11" s="2"/>
      <c r="P11" s="13"/>
    </row>
    <row r="12" spans="1:19">
      <c r="A12" s="51" t="s">
        <v>31</v>
      </c>
      <c r="B12" s="296" t="str">
        <f>IF($B$11="","",VLOOKUP($B$11,#REF!,11,FALSE))</f>
        <v/>
      </c>
      <c r="C12" s="296"/>
      <c r="D12" s="67" t="s">
        <v>8</v>
      </c>
      <c r="E12" s="67" t="str">
        <f>IF($B$11="","",VLOOKUP($B$11,#REF!,10,FALSE))</f>
        <v/>
      </c>
      <c r="F12" s="122" t="s">
        <v>74</v>
      </c>
      <c r="G12" s="61" t="s">
        <v>9</v>
      </c>
      <c r="H12" s="62"/>
      <c r="I12" s="63"/>
      <c r="J12" s="64" t="s">
        <v>10</v>
      </c>
      <c r="K12" s="64"/>
      <c r="L12" s="63"/>
      <c r="M12" s="4"/>
      <c r="N12" s="21" t="s">
        <v>78</v>
      </c>
      <c r="O12" s="4"/>
      <c r="P12" s="17"/>
    </row>
    <row r="13" spans="1:19" ht="9" customHeight="1">
      <c r="A13" s="22"/>
      <c r="B13" s="15"/>
      <c r="C13" s="23"/>
      <c r="D13" s="23"/>
      <c r="E13" s="15"/>
      <c r="F13" s="15"/>
      <c r="G13" s="23"/>
      <c r="H13" s="15"/>
      <c r="I13" s="2"/>
      <c r="J13" s="2"/>
      <c r="K13" s="2"/>
    </row>
    <row r="14" spans="1:19" ht="16.2" thickBot="1">
      <c r="A14" s="378" t="s">
        <v>58</v>
      </c>
      <c r="B14" s="378"/>
      <c r="C14" s="23"/>
      <c r="D14" s="23"/>
      <c r="E14" s="15"/>
      <c r="F14" s="15"/>
      <c r="G14" s="23"/>
      <c r="H14" s="15"/>
      <c r="I14" s="2"/>
      <c r="J14" s="2"/>
      <c r="K14" s="2"/>
    </row>
    <row r="15" spans="1:19" ht="12" customHeight="1">
      <c r="A15" s="322" t="s">
        <v>12</v>
      </c>
      <c r="B15" s="320" t="s">
        <v>34</v>
      </c>
      <c r="C15" s="321"/>
      <c r="D15" s="320" t="s">
        <v>15</v>
      </c>
      <c r="E15" s="321"/>
      <c r="F15" s="320" t="s">
        <v>16</v>
      </c>
      <c r="G15" s="321"/>
      <c r="H15" s="320" t="s">
        <v>17</v>
      </c>
      <c r="I15" s="321"/>
      <c r="J15" s="320" t="s">
        <v>18</v>
      </c>
      <c r="K15" s="321"/>
      <c r="L15" s="320" t="s">
        <v>19</v>
      </c>
      <c r="M15" s="321"/>
      <c r="N15" s="320" t="s">
        <v>20</v>
      </c>
      <c r="O15" s="321"/>
      <c r="P15" s="322" t="s">
        <v>22</v>
      </c>
    </row>
    <row r="16" spans="1:19" ht="16.05" customHeight="1" thickBot="1">
      <c r="A16" s="323"/>
      <c r="B16" s="345"/>
      <c r="C16" s="346"/>
      <c r="D16" s="123" t="s">
        <v>35</v>
      </c>
      <c r="E16" s="124" t="s">
        <v>36</v>
      </c>
      <c r="F16" s="123" t="s">
        <v>35</v>
      </c>
      <c r="G16" s="124" t="s">
        <v>36</v>
      </c>
      <c r="H16" s="123" t="s">
        <v>35</v>
      </c>
      <c r="I16" s="124" t="s">
        <v>36</v>
      </c>
      <c r="J16" s="123" t="s">
        <v>35</v>
      </c>
      <c r="K16" s="124" t="s">
        <v>36</v>
      </c>
      <c r="L16" s="123" t="s">
        <v>35</v>
      </c>
      <c r="M16" s="124" t="s">
        <v>36</v>
      </c>
      <c r="N16" s="123" t="s">
        <v>35</v>
      </c>
      <c r="O16" s="124" t="s">
        <v>36</v>
      </c>
      <c r="P16" s="323"/>
    </row>
    <row r="17" spans="1:16" ht="25.95" customHeight="1">
      <c r="A17" s="125">
        <v>1</v>
      </c>
      <c r="B17" s="373" t="s">
        <v>25</v>
      </c>
      <c r="C17" s="374"/>
      <c r="D17" s="247" t="s">
        <v>59</v>
      </c>
      <c r="E17" s="91"/>
      <c r="F17" s="247" t="s">
        <v>59</v>
      </c>
      <c r="G17" s="91"/>
      <c r="H17" s="247" t="s">
        <v>59</v>
      </c>
      <c r="I17" s="91"/>
      <c r="J17" s="247" t="s">
        <v>59</v>
      </c>
      <c r="K17" s="91"/>
      <c r="L17" s="247" t="s">
        <v>59</v>
      </c>
      <c r="M17" s="92"/>
      <c r="N17" s="247" t="s">
        <v>59</v>
      </c>
      <c r="O17" s="92"/>
      <c r="P17" s="93"/>
    </row>
    <row r="18" spans="1:16" ht="25.95" customHeight="1">
      <c r="A18" s="75">
        <v>2</v>
      </c>
      <c r="B18" s="312" t="s">
        <v>76</v>
      </c>
      <c r="C18" s="313"/>
      <c r="D18" s="246" t="s">
        <v>103</v>
      </c>
      <c r="E18" s="78"/>
      <c r="F18" s="246" t="s">
        <v>103</v>
      </c>
      <c r="G18" s="78"/>
      <c r="H18" s="246" t="s">
        <v>103</v>
      </c>
      <c r="I18" s="78"/>
      <c r="J18" s="246" t="s">
        <v>103</v>
      </c>
      <c r="K18" s="78"/>
      <c r="L18" s="246" t="s">
        <v>103</v>
      </c>
      <c r="M18" s="79"/>
      <c r="N18" s="246" t="s">
        <v>103</v>
      </c>
      <c r="O18" s="79"/>
      <c r="P18" s="80"/>
    </row>
    <row r="19" spans="1:16" ht="25.95" customHeight="1">
      <c r="A19" s="75">
        <v>3</v>
      </c>
      <c r="B19" s="312" t="s">
        <v>77</v>
      </c>
      <c r="C19" s="313"/>
      <c r="D19" s="246" t="s">
        <v>38</v>
      </c>
      <c r="E19" s="78"/>
      <c r="F19" s="246" t="s">
        <v>38</v>
      </c>
      <c r="G19" s="78"/>
      <c r="H19" s="246" t="s">
        <v>38</v>
      </c>
      <c r="I19" s="78"/>
      <c r="J19" s="246" t="s">
        <v>38</v>
      </c>
      <c r="K19" s="78"/>
      <c r="L19" s="246" t="s">
        <v>38</v>
      </c>
      <c r="M19" s="79"/>
      <c r="N19" s="246" t="s">
        <v>38</v>
      </c>
      <c r="O19" s="79"/>
      <c r="P19" s="80"/>
    </row>
    <row r="20" spans="1:16" ht="25.95" customHeight="1" thickBot="1">
      <c r="A20" s="81">
        <v>4</v>
      </c>
      <c r="B20" s="376" t="s">
        <v>62</v>
      </c>
      <c r="C20" s="377"/>
      <c r="D20" s="245" t="s">
        <v>38</v>
      </c>
      <c r="E20" s="83"/>
      <c r="F20" s="245" t="s">
        <v>38</v>
      </c>
      <c r="G20" s="83"/>
      <c r="H20" s="245" t="s">
        <v>38</v>
      </c>
      <c r="I20" s="83"/>
      <c r="J20" s="245" t="s">
        <v>38</v>
      </c>
      <c r="K20" s="83"/>
      <c r="L20" s="245" t="s">
        <v>38</v>
      </c>
      <c r="M20" s="84"/>
      <c r="N20" s="245" t="s">
        <v>38</v>
      </c>
      <c r="O20" s="84"/>
      <c r="P20" s="85"/>
    </row>
    <row r="21" spans="1:16" ht="13.05" customHeight="1">
      <c r="A21" s="121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</row>
    <row r="22" spans="1:16" ht="19.95" customHeight="1">
      <c r="A22" s="45" t="s">
        <v>166</v>
      </c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</row>
    <row r="23" spans="1:16" ht="13.05" customHeight="1" thickBot="1">
      <c r="A23" s="121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</row>
    <row r="24" spans="1:16" ht="19.95" customHeight="1">
      <c r="A24" s="322" t="s">
        <v>12</v>
      </c>
      <c r="B24" s="320" t="s">
        <v>34</v>
      </c>
      <c r="C24" s="321"/>
      <c r="D24" s="320" t="s">
        <v>15</v>
      </c>
      <c r="E24" s="321"/>
      <c r="F24" s="320" t="s">
        <v>16</v>
      </c>
      <c r="G24" s="321"/>
      <c r="H24" s="320" t="s">
        <v>17</v>
      </c>
      <c r="I24" s="321"/>
      <c r="J24" s="320" t="s">
        <v>18</v>
      </c>
      <c r="K24" s="321"/>
      <c r="L24" s="320" t="s">
        <v>19</v>
      </c>
      <c r="M24" s="321"/>
      <c r="N24" s="320" t="s">
        <v>20</v>
      </c>
      <c r="O24" s="321"/>
      <c r="P24" s="322" t="s">
        <v>22</v>
      </c>
    </row>
    <row r="25" spans="1:16" ht="13.05" customHeight="1" thickBot="1">
      <c r="A25" s="323"/>
      <c r="B25" s="345"/>
      <c r="C25" s="346"/>
      <c r="D25" s="248" t="s">
        <v>35</v>
      </c>
      <c r="E25" s="249" t="s">
        <v>36</v>
      </c>
      <c r="F25" s="248" t="s">
        <v>35</v>
      </c>
      <c r="G25" s="249" t="s">
        <v>36</v>
      </c>
      <c r="H25" s="248" t="s">
        <v>35</v>
      </c>
      <c r="I25" s="249" t="s">
        <v>36</v>
      </c>
      <c r="J25" s="248" t="s">
        <v>35</v>
      </c>
      <c r="K25" s="249" t="s">
        <v>36</v>
      </c>
      <c r="L25" s="248" t="s">
        <v>35</v>
      </c>
      <c r="M25" s="249" t="s">
        <v>36</v>
      </c>
      <c r="N25" s="248" t="s">
        <v>35</v>
      </c>
      <c r="O25" s="249" t="s">
        <v>36</v>
      </c>
      <c r="P25" s="323"/>
    </row>
    <row r="26" spans="1:16" ht="25.95" customHeight="1" thickBot="1">
      <c r="A26" s="256"/>
      <c r="B26" s="324"/>
      <c r="C26" s="325"/>
      <c r="D26" s="257"/>
      <c r="E26" s="258"/>
      <c r="F26" s="257"/>
      <c r="G26" s="258"/>
      <c r="H26" s="257"/>
      <c r="I26" s="258"/>
      <c r="J26" s="257"/>
      <c r="K26" s="258"/>
      <c r="L26" s="257"/>
      <c r="M26" s="259"/>
      <c r="N26" s="257"/>
      <c r="O26" s="259"/>
      <c r="P26" s="260"/>
    </row>
    <row r="27" spans="1:16" ht="13.05" customHeight="1">
      <c r="A27" s="250"/>
      <c r="B27" s="250"/>
      <c r="C27" s="250"/>
      <c r="D27" s="250"/>
      <c r="E27" s="250"/>
      <c r="F27" s="250"/>
      <c r="G27" s="250"/>
      <c r="H27" s="250"/>
      <c r="I27" s="250"/>
      <c r="J27" s="250"/>
      <c r="K27" s="250"/>
      <c r="L27" s="250"/>
      <c r="M27" s="250"/>
      <c r="N27" s="250"/>
      <c r="O27" s="250"/>
      <c r="P27" s="250"/>
    </row>
    <row r="28" spans="1:16" ht="19.95" customHeight="1">
      <c r="A28" s="45" t="s">
        <v>64</v>
      </c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</row>
    <row r="29" spans="1:16" ht="13.05" customHeight="1" thickBot="1">
      <c r="H29" s="121"/>
      <c r="I29" s="121"/>
      <c r="J29" s="121"/>
      <c r="K29" s="121"/>
      <c r="L29" s="121"/>
      <c r="M29" s="121"/>
      <c r="N29" s="121"/>
      <c r="O29" s="121"/>
      <c r="P29" s="121"/>
    </row>
    <row r="30" spans="1:16" ht="18" customHeight="1">
      <c r="A30" s="322" t="s">
        <v>12</v>
      </c>
      <c r="B30" s="320" t="s">
        <v>34</v>
      </c>
      <c r="C30" s="321"/>
      <c r="D30" s="363" t="s">
        <v>15</v>
      </c>
      <c r="E30" s="365" t="s">
        <v>16</v>
      </c>
      <c r="F30" s="365" t="s">
        <v>17</v>
      </c>
      <c r="G30" s="365" t="s">
        <v>18</v>
      </c>
      <c r="H30" s="365" t="s">
        <v>19</v>
      </c>
      <c r="I30" s="367" t="s">
        <v>20</v>
      </c>
      <c r="J30" s="320" t="s">
        <v>65</v>
      </c>
      <c r="K30" s="369"/>
      <c r="L30" s="369"/>
      <c r="M30" s="321"/>
      <c r="N30" s="121"/>
      <c r="O30" s="121"/>
      <c r="P30" s="121"/>
    </row>
    <row r="31" spans="1:16" ht="10.95" customHeight="1" thickBot="1">
      <c r="A31" s="360"/>
      <c r="B31" s="361"/>
      <c r="C31" s="362"/>
      <c r="D31" s="364"/>
      <c r="E31" s="366"/>
      <c r="F31" s="366"/>
      <c r="G31" s="366"/>
      <c r="H31" s="366"/>
      <c r="I31" s="368"/>
      <c r="J31" s="361"/>
      <c r="K31" s="370"/>
      <c r="L31" s="370"/>
      <c r="M31" s="362"/>
      <c r="N31" s="121"/>
      <c r="O31" s="121"/>
      <c r="P31" s="121"/>
    </row>
    <row r="32" spans="1:16" ht="25.95" customHeight="1">
      <c r="A32" s="125">
        <v>1</v>
      </c>
      <c r="B32" s="373" t="s">
        <v>66</v>
      </c>
      <c r="C32" s="374"/>
      <c r="D32" s="126" t="s">
        <v>5</v>
      </c>
      <c r="E32" s="127" t="s">
        <v>5</v>
      </c>
      <c r="F32" s="127" t="s">
        <v>5</v>
      </c>
      <c r="G32" s="127" t="s">
        <v>5</v>
      </c>
      <c r="H32" s="127" t="s">
        <v>5</v>
      </c>
      <c r="I32" s="128" t="s">
        <v>5</v>
      </c>
      <c r="J32" s="373"/>
      <c r="K32" s="375"/>
      <c r="L32" s="375"/>
      <c r="M32" s="374"/>
      <c r="N32" s="121"/>
      <c r="O32" s="121"/>
      <c r="P32" s="121"/>
    </row>
    <row r="33" spans="1:16" ht="25.95" customHeight="1">
      <c r="A33" s="75">
        <v>2</v>
      </c>
      <c r="B33" s="312" t="s">
        <v>67</v>
      </c>
      <c r="C33" s="313"/>
      <c r="D33" s="129" t="s">
        <v>5</v>
      </c>
      <c r="E33" s="130" t="s">
        <v>5</v>
      </c>
      <c r="F33" s="130" t="s">
        <v>5</v>
      </c>
      <c r="G33" s="130" t="s">
        <v>5</v>
      </c>
      <c r="H33" s="130" t="s">
        <v>5</v>
      </c>
      <c r="I33" s="131" t="s">
        <v>5</v>
      </c>
      <c r="J33" s="312"/>
      <c r="K33" s="372"/>
      <c r="L33" s="372"/>
      <c r="M33" s="313"/>
      <c r="N33" s="121"/>
      <c r="O33" s="121"/>
      <c r="P33" s="121"/>
    </row>
    <row r="34" spans="1:16" ht="25.95" customHeight="1">
      <c r="A34" s="75">
        <v>3</v>
      </c>
      <c r="B34" s="312" t="s">
        <v>68</v>
      </c>
      <c r="C34" s="313"/>
      <c r="D34" s="129" t="s">
        <v>5</v>
      </c>
      <c r="E34" s="130" t="s">
        <v>5</v>
      </c>
      <c r="F34" s="130" t="s">
        <v>5</v>
      </c>
      <c r="G34" s="130" t="s">
        <v>5</v>
      </c>
      <c r="H34" s="130" t="s">
        <v>5</v>
      </c>
      <c r="I34" s="131" t="s">
        <v>5</v>
      </c>
      <c r="J34" s="312"/>
      <c r="K34" s="372"/>
      <c r="L34" s="372"/>
      <c r="M34" s="313"/>
      <c r="N34" s="121"/>
      <c r="O34" s="121"/>
      <c r="P34" s="121"/>
    </row>
    <row r="35" spans="1:16" ht="25.95" customHeight="1" thickBot="1">
      <c r="A35" s="81">
        <v>4</v>
      </c>
      <c r="B35" s="308" t="s">
        <v>69</v>
      </c>
      <c r="C35" s="309"/>
      <c r="D35" s="132" t="s">
        <v>5</v>
      </c>
      <c r="E35" s="133" t="s">
        <v>5</v>
      </c>
      <c r="F35" s="133" t="s">
        <v>5</v>
      </c>
      <c r="G35" s="133" t="s">
        <v>5</v>
      </c>
      <c r="H35" s="133" t="s">
        <v>5</v>
      </c>
      <c r="I35" s="134" t="s">
        <v>5</v>
      </c>
      <c r="J35" s="308"/>
      <c r="K35" s="371"/>
      <c r="L35" s="371"/>
      <c r="M35" s="309"/>
      <c r="N35" s="121"/>
      <c r="O35" s="121"/>
      <c r="P35" s="121"/>
    </row>
  </sheetData>
  <mergeCells count="49">
    <mergeCell ref="B17:C17"/>
    <mergeCell ref="J15:K15"/>
    <mergeCell ref="A1:P1"/>
    <mergeCell ref="A2:P3"/>
    <mergeCell ref="B5:D5"/>
    <mergeCell ref="B7:C7"/>
    <mergeCell ref="B12:C12"/>
    <mergeCell ref="A14:B14"/>
    <mergeCell ref="A15:A16"/>
    <mergeCell ref="B15:C16"/>
    <mergeCell ref="D15:E15"/>
    <mergeCell ref="L15:M15"/>
    <mergeCell ref="N15:O15"/>
    <mergeCell ref="P15:P16"/>
    <mergeCell ref="B18:C18"/>
    <mergeCell ref="B19:C19"/>
    <mergeCell ref="B20:C20"/>
    <mergeCell ref="G30:G31"/>
    <mergeCell ref="P24:P25"/>
    <mergeCell ref="B26:C26"/>
    <mergeCell ref="B35:C35"/>
    <mergeCell ref="J35:M35"/>
    <mergeCell ref="B34:C34"/>
    <mergeCell ref="J34:M34"/>
    <mergeCell ref="J24:K24"/>
    <mergeCell ref="L24:M24"/>
    <mergeCell ref="B32:C32"/>
    <mergeCell ref="J32:M32"/>
    <mergeCell ref="B33:C33"/>
    <mergeCell ref="J33:M33"/>
    <mergeCell ref="A24:A25"/>
    <mergeCell ref="B24:C25"/>
    <mergeCell ref="D24:E24"/>
    <mergeCell ref="F24:G24"/>
    <mergeCell ref="H24:I24"/>
    <mergeCell ref="N7:O7"/>
    <mergeCell ref="F15:G15"/>
    <mergeCell ref="H15:I15"/>
    <mergeCell ref="H30:H31"/>
    <mergeCell ref="I30:I31"/>
    <mergeCell ref="J30:M31"/>
    <mergeCell ref="N24:O24"/>
    <mergeCell ref="F7:G7"/>
    <mergeCell ref="L7:M7"/>
    <mergeCell ref="A30:A31"/>
    <mergeCell ref="B30:C31"/>
    <mergeCell ref="D30:D31"/>
    <mergeCell ref="E30:E31"/>
    <mergeCell ref="F30:F31"/>
  </mergeCells>
  <phoneticPr fontId="6" type="noConversion"/>
  <dataValidations count="4">
    <dataValidation type="list" allowBlank="1" showInputMessage="1" showErrorMessage="1" sqref="B11">
      <formula1>Lotes</formula1>
    </dataValidation>
    <dataValidation type="list" allowBlank="1" showInputMessage="1" showErrorMessage="1" sqref="N5">
      <formula1>Semanas</formula1>
    </dataValidation>
    <dataValidation type="list" allowBlank="1" showInputMessage="1" showErrorMessage="1" sqref="B5:D5">
      <formula1>Supervisores</formula1>
    </dataValidation>
    <dataValidation type="list" allowBlank="1" showInputMessage="1" showErrorMessage="1" sqref="B7:C7">
      <formula1>Equipos</formula1>
    </dataValidation>
  </dataValidations>
  <printOptions horizontalCentered="1" verticalCentered="1"/>
  <pageMargins left="0.67" right="0.67" top="0.6166666666666667" bottom="0.8" header="0.45222222222222225" footer="0.5"/>
  <pageSetup paperSize="5" scale="82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pageSetUpPr fitToPage="1"/>
  </sheetPr>
  <dimension ref="A1:P28"/>
  <sheetViews>
    <sheetView view="pageLayout" workbookViewId="0">
      <selection activeCell="A2" sqref="A2:P3"/>
    </sheetView>
  </sheetViews>
  <sheetFormatPr defaultColWidth="11.19921875" defaultRowHeight="15.6"/>
  <sheetData>
    <row r="1" spans="1:16">
      <c r="A1" s="298" t="s">
        <v>79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5" customHeight="1">
      <c r="A2" s="299" t="s">
        <v>80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</row>
    <row r="3" spans="1:16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</row>
    <row r="4" spans="1:16" ht="21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32"/>
      <c r="L4" s="32"/>
      <c r="M4" s="32"/>
      <c r="N4" s="32"/>
      <c r="O4" s="32"/>
      <c r="P4" s="32"/>
    </row>
    <row r="5" spans="1:16">
      <c r="A5" s="3" t="s">
        <v>1</v>
      </c>
      <c r="B5" s="296"/>
      <c r="C5" s="296"/>
      <c r="D5" s="296"/>
      <c r="E5" s="4"/>
      <c r="G5" s="66"/>
      <c r="H5" s="7" t="s">
        <v>24</v>
      </c>
      <c r="I5" s="120" t="str">
        <f>IF($N$5="","",VLOOKUP($N$5,#REF!,2,FALSE))</f>
        <v/>
      </c>
      <c r="J5" s="87"/>
      <c r="M5" s="7" t="s">
        <v>3</v>
      </c>
      <c r="N5" s="21"/>
    </row>
    <row r="6" spans="1:16">
      <c r="A6" s="95"/>
      <c r="B6" s="32"/>
      <c r="C6" s="32"/>
      <c r="D6" s="32"/>
      <c r="E6" s="32"/>
      <c r="F6" s="32"/>
      <c r="G6" s="32"/>
      <c r="H6" s="94"/>
      <c r="I6" s="94"/>
      <c r="J6" s="32"/>
      <c r="K6" s="32"/>
      <c r="L6" s="32"/>
      <c r="M6" s="32"/>
      <c r="N6" s="32"/>
      <c r="O6" s="32"/>
      <c r="P6" s="32"/>
    </row>
    <row r="7" spans="1:16">
      <c r="A7" s="53" t="s">
        <v>6</v>
      </c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6"/>
    </row>
    <row r="8" spans="1:16">
      <c r="A8" s="57"/>
      <c r="B8" s="95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58"/>
    </row>
    <row r="9" spans="1:16">
      <c r="A9" s="50" t="s">
        <v>7</v>
      </c>
      <c r="B9" s="45"/>
      <c r="C9" s="114"/>
      <c r="D9" s="2"/>
      <c r="E9" s="2"/>
      <c r="F9" s="69"/>
      <c r="G9" s="69"/>
      <c r="H9" s="69"/>
      <c r="I9" s="69"/>
      <c r="J9" s="69"/>
      <c r="K9" s="69"/>
      <c r="L9" s="69"/>
      <c r="M9" s="2"/>
      <c r="N9" s="2"/>
      <c r="O9" s="2"/>
      <c r="P9" s="13"/>
    </row>
    <row r="10" spans="1:16">
      <c r="A10" s="51" t="s">
        <v>31</v>
      </c>
      <c r="B10" s="296" t="str">
        <f>IF($B$9="","",VLOOKUP($B$9,#REF!,11,FALSE))</f>
        <v/>
      </c>
      <c r="C10" s="296"/>
      <c r="D10" s="67" t="s">
        <v>8</v>
      </c>
      <c r="E10" s="67" t="str">
        <f>IF($B$9="","",VLOOKUP($B$9,#REF!,10,FALSE))</f>
        <v/>
      </c>
      <c r="F10" s="122" t="s">
        <v>74</v>
      </c>
      <c r="G10" s="61" t="s">
        <v>9</v>
      </c>
      <c r="H10" s="62"/>
      <c r="I10" s="63"/>
      <c r="J10" s="64" t="s">
        <v>10</v>
      </c>
      <c r="K10" s="64"/>
      <c r="L10" s="63"/>
      <c r="M10" s="4"/>
      <c r="N10" s="21" t="s">
        <v>78</v>
      </c>
      <c r="O10" s="4"/>
      <c r="P10" s="17"/>
    </row>
    <row r="11" spans="1:16" ht="16.2" thickBot="1">
      <c r="A11" s="96"/>
      <c r="B11" s="96"/>
      <c r="C11" s="94"/>
      <c r="D11" s="94"/>
      <c r="E11" s="96"/>
      <c r="F11" s="96"/>
      <c r="G11" s="94"/>
      <c r="H11" s="96"/>
      <c r="I11" s="32"/>
      <c r="J11" s="32"/>
      <c r="K11" s="32"/>
      <c r="L11" s="32"/>
      <c r="M11" s="32"/>
      <c r="N11" s="32"/>
      <c r="O11" s="32"/>
      <c r="P11" s="32"/>
    </row>
    <row r="12" spans="1:16">
      <c r="A12" s="322" t="s">
        <v>12</v>
      </c>
      <c r="B12" s="369" t="s">
        <v>34</v>
      </c>
      <c r="C12" s="369"/>
      <c r="D12" s="320" t="s">
        <v>15</v>
      </c>
      <c r="E12" s="321"/>
      <c r="F12" s="320" t="s">
        <v>16</v>
      </c>
      <c r="G12" s="321"/>
      <c r="H12" s="320" t="s">
        <v>17</v>
      </c>
      <c r="I12" s="321"/>
      <c r="J12" s="320" t="s">
        <v>18</v>
      </c>
      <c r="K12" s="321"/>
      <c r="L12" s="320" t="s">
        <v>19</v>
      </c>
      <c r="M12" s="321"/>
      <c r="N12" s="320" t="s">
        <v>20</v>
      </c>
      <c r="O12" s="321"/>
      <c r="P12" s="322" t="s">
        <v>22</v>
      </c>
    </row>
    <row r="13" spans="1:16" ht="16.2" thickBot="1">
      <c r="A13" s="323"/>
      <c r="B13" s="379"/>
      <c r="C13" s="379"/>
      <c r="D13" s="191" t="s">
        <v>35</v>
      </c>
      <c r="E13" s="192" t="s">
        <v>36</v>
      </c>
      <c r="F13" s="191" t="s">
        <v>35</v>
      </c>
      <c r="G13" s="192" t="s">
        <v>36</v>
      </c>
      <c r="H13" s="191" t="s">
        <v>35</v>
      </c>
      <c r="I13" s="192" t="s">
        <v>36</v>
      </c>
      <c r="J13" s="191" t="s">
        <v>35</v>
      </c>
      <c r="K13" s="192" t="s">
        <v>36</v>
      </c>
      <c r="L13" s="191" t="s">
        <v>35</v>
      </c>
      <c r="M13" s="192" t="s">
        <v>36</v>
      </c>
      <c r="N13" s="191" t="s">
        <v>35</v>
      </c>
      <c r="O13" s="192" t="s">
        <v>36</v>
      </c>
      <c r="P13" s="323"/>
    </row>
    <row r="14" spans="1:16" ht="28.05" customHeight="1">
      <c r="A14" s="70">
        <v>1</v>
      </c>
      <c r="B14" s="193" t="s">
        <v>82</v>
      </c>
      <c r="C14" s="194"/>
      <c r="D14" s="264" t="s">
        <v>104</v>
      </c>
      <c r="E14" s="72"/>
      <c r="F14" s="264" t="s">
        <v>104</v>
      </c>
      <c r="G14" s="72"/>
      <c r="H14" s="264" t="s">
        <v>104</v>
      </c>
      <c r="I14" s="72"/>
      <c r="J14" s="264" t="s">
        <v>104</v>
      </c>
      <c r="K14" s="72"/>
      <c r="L14" s="264" t="s">
        <v>104</v>
      </c>
      <c r="M14" s="73"/>
      <c r="N14" s="264" t="s">
        <v>104</v>
      </c>
      <c r="O14" s="73"/>
      <c r="P14" s="74"/>
    </row>
    <row r="15" spans="1:16" ht="28.05" customHeight="1">
      <c r="A15" s="75">
        <v>2</v>
      </c>
      <c r="B15" s="155" t="s">
        <v>82</v>
      </c>
      <c r="C15" s="156"/>
      <c r="D15" s="265" t="s">
        <v>104</v>
      </c>
      <c r="E15" s="78"/>
      <c r="F15" s="265" t="s">
        <v>104</v>
      </c>
      <c r="G15" s="78"/>
      <c r="H15" s="265" t="s">
        <v>104</v>
      </c>
      <c r="I15" s="78"/>
      <c r="J15" s="265" t="s">
        <v>104</v>
      </c>
      <c r="K15" s="78"/>
      <c r="L15" s="265" t="s">
        <v>104</v>
      </c>
      <c r="M15" s="79"/>
      <c r="N15" s="265" t="s">
        <v>104</v>
      </c>
      <c r="O15" s="79"/>
      <c r="P15" s="80"/>
    </row>
    <row r="16" spans="1:16" ht="28.05" customHeight="1">
      <c r="A16" s="75">
        <v>3</v>
      </c>
      <c r="B16" s="155" t="s">
        <v>82</v>
      </c>
      <c r="C16" s="156"/>
      <c r="D16" s="265" t="s">
        <v>104</v>
      </c>
      <c r="E16" s="78"/>
      <c r="F16" s="265" t="s">
        <v>104</v>
      </c>
      <c r="G16" s="78"/>
      <c r="H16" s="265" t="s">
        <v>104</v>
      </c>
      <c r="I16" s="78"/>
      <c r="J16" s="265" t="s">
        <v>104</v>
      </c>
      <c r="K16" s="78"/>
      <c r="L16" s="265" t="s">
        <v>104</v>
      </c>
      <c r="M16" s="79"/>
      <c r="N16" s="265" t="s">
        <v>104</v>
      </c>
      <c r="O16" s="79"/>
      <c r="P16" s="80"/>
    </row>
    <row r="17" spans="1:16" ht="28.05" customHeight="1">
      <c r="A17" s="75">
        <v>4</v>
      </c>
      <c r="B17" s="159" t="s">
        <v>82</v>
      </c>
      <c r="C17" s="156"/>
      <c r="D17" s="265" t="s">
        <v>104</v>
      </c>
      <c r="E17" s="78"/>
      <c r="F17" s="265" t="s">
        <v>104</v>
      </c>
      <c r="G17" s="78"/>
      <c r="H17" s="265" t="s">
        <v>104</v>
      </c>
      <c r="I17" s="78"/>
      <c r="J17" s="265" t="s">
        <v>104</v>
      </c>
      <c r="K17" s="78"/>
      <c r="L17" s="265" t="s">
        <v>104</v>
      </c>
      <c r="M17" s="79"/>
      <c r="N17" s="265" t="s">
        <v>104</v>
      </c>
      <c r="O17" s="79"/>
      <c r="P17" s="80"/>
    </row>
    <row r="18" spans="1:16" ht="28.05" customHeight="1">
      <c r="A18" s="75">
        <v>5</v>
      </c>
      <c r="B18" s="159" t="s">
        <v>82</v>
      </c>
      <c r="C18" s="156"/>
      <c r="D18" s="265" t="s">
        <v>104</v>
      </c>
      <c r="E18" s="78"/>
      <c r="F18" s="265" t="s">
        <v>104</v>
      </c>
      <c r="G18" s="78"/>
      <c r="H18" s="265" t="s">
        <v>104</v>
      </c>
      <c r="I18" s="78"/>
      <c r="J18" s="265" t="s">
        <v>104</v>
      </c>
      <c r="K18" s="78"/>
      <c r="L18" s="265" t="s">
        <v>104</v>
      </c>
      <c r="M18" s="79"/>
      <c r="N18" s="265" t="s">
        <v>104</v>
      </c>
      <c r="O18" s="79"/>
      <c r="P18" s="80"/>
    </row>
    <row r="19" spans="1:16" ht="28.05" customHeight="1" thickBot="1">
      <c r="A19" s="81">
        <v>6</v>
      </c>
      <c r="B19" s="157" t="s">
        <v>82</v>
      </c>
      <c r="C19" s="158"/>
      <c r="D19" s="266" t="s">
        <v>104</v>
      </c>
      <c r="E19" s="83"/>
      <c r="F19" s="266" t="s">
        <v>104</v>
      </c>
      <c r="G19" s="83"/>
      <c r="H19" s="266" t="s">
        <v>104</v>
      </c>
      <c r="I19" s="83"/>
      <c r="J19" s="266" t="s">
        <v>104</v>
      </c>
      <c r="K19" s="83"/>
      <c r="L19" s="266" t="s">
        <v>104</v>
      </c>
      <c r="M19" s="84"/>
      <c r="N19" s="266" t="s">
        <v>104</v>
      </c>
      <c r="O19" s="84"/>
      <c r="P19" s="85"/>
    </row>
    <row r="20" spans="1:16" ht="28.05" customHeight="1">
      <c r="A20" s="146">
        <v>7</v>
      </c>
      <c r="B20" s="160" t="s">
        <v>83</v>
      </c>
      <c r="C20" s="161"/>
      <c r="D20" s="267" t="s">
        <v>81</v>
      </c>
      <c r="E20" s="147"/>
      <c r="F20" s="267" t="s">
        <v>81</v>
      </c>
      <c r="G20" s="147"/>
      <c r="H20" s="267" t="s">
        <v>81</v>
      </c>
      <c r="I20" s="147"/>
      <c r="J20" s="267" t="s">
        <v>81</v>
      </c>
      <c r="K20" s="147"/>
      <c r="L20" s="267" t="s">
        <v>81</v>
      </c>
      <c r="M20" s="147"/>
      <c r="N20" s="267" t="s">
        <v>81</v>
      </c>
      <c r="O20" s="147"/>
      <c r="P20" s="148"/>
    </row>
    <row r="21" spans="1:16" ht="28.05" customHeight="1">
      <c r="A21" s="75">
        <v>8</v>
      </c>
      <c r="B21" s="162" t="s">
        <v>83</v>
      </c>
      <c r="C21" s="163"/>
      <c r="D21" s="265" t="s">
        <v>81</v>
      </c>
      <c r="E21" s="78"/>
      <c r="F21" s="265" t="s">
        <v>81</v>
      </c>
      <c r="G21" s="78"/>
      <c r="H21" s="265" t="s">
        <v>81</v>
      </c>
      <c r="I21" s="78"/>
      <c r="J21" s="265" t="s">
        <v>81</v>
      </c>
      <c r="K21" s="186"/>
      <c r="L21" s="265" t="s">
        <v>81</v>
      </c>
      <c r="M21" s="186"/>
      <c r="N21" s="265" t="s">
        <v>81</v>
      </c>
      <c r="O21" s="149"/>
      <c r="P21" s="150"/>
    </row>
    <row r="22" spans="1:16" ht="28.05" customHeight="1">
      <c r="A22" s="75">
        <v>9</v>
      </c>
      <c r="B22" s="162" t="s">
        <v>70</v>
      </c>
      <c r="C22" s="163"/>
      <c r="D22" s="265" t="s">
        <v>81</v>
      </c>
      <c r="E22" s="30"/>
      <c r="F22" s="265" t="s">
        <v>81</v>
      </c>
      <c r="G22" s="30"/>
      <c r="H22" s="265" t="s">
        <v>81</v>
      </c>
      <c r="I22" s="30"/>
      <c r="J22" s="265" t="s">
        <v>81</v>
      </c>
      <c r="K22" s="151"/>
      <c r="L22" s="265" t="s">
        <v>81</v>
      </c>
      <c r="M22" s="151"/>
      <c r="N22" s="265" t="s">
        <v>81</v>
      </c>
      <c r="O22" s="151"/>
      <c r="P22" s="152"/>
    </row>
    <row r="23" spans="1:16" ht="28.05" customHeight="1" thickBot="1">
      <c r="A23" s="81">
        <v>10</v>
      </c>
      <c r="B23" s="164" t="s">
        <v>70</v>
      </c>
      <c r="C23" s="165"/>
      <c r="D23" s="266" t="s">
        <v>81</v>
      </c>
      <c r="E23" s="31"/>
      <c r="F23" s="266" t="s">
        <v>81</v>
      </c>
      <c r="G23" s="31"/>
      <c r="H23" s="266" t="s">
        <v>81</v>
      </c>
      <c r="I23" s="31"/>
      <c r="J23" s="266" t="s">
        <v>81</v>
      </c>
      <c r="K23" s="153"/>
      <c r="L23" s="266" t="s">
        <v>81</v>
      </c>
      <c r="M23" s="153"/>
      <c r="N23" s="266" t="s">
        <v>81</v>
      </c>
      <c r="O23" s="153"/>
      <c r="P23" s="154"/>
    </row>
    <row r="25" spans="1:16">
      <c r="C25" s="195" t="s">
        <v>105</v>
      </c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</row>
    <row r="26" spans="1:16">
      <c r="C26" s="196"/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</row>
    <row r="28" spans="1:16">
      <c r="C28" s="196" t="s">
        <v>168</v>
      </c>
      <c r="D28" s="196"/>
      <c r="E28" s="196"/>
      <c r="F28" s="196"/>
      <c r="G28" s="196"/>
      <c r="H28" s="196"/>
      <c r="I28" s="196"/>
      <c r="J28" s="196"/>
      <c r="K28" s="196"/>
      <c r="L28" s="196"/>
    </row>
  </sheetData>
  <mergeCells count="13">
    <mergeCell ref="B10:C10"/>
    <mergeCell ref="N12:O12"/>
    <mergeCell ref="P12:P13"/>
    <mergeCell ref="A1:P1"/>
    <mergeCell ref="A2:P3"/>
    <mergeCell ref="B5:D5"/>
    <mergeCell ref="A12:A13"/>
    <mergeCell ref="B12:C13"/>
    <mergeCell ref="D12:E12"/>
    <mergeCell ref="F12:G12"/>
    <mergeCell ref="H12:I12"/>
    <mergeCell ref="J12:K12"/>
    <mergeCell ref="L12:M12"/>
  </mergeCells>
  <phoneticPr fontId="6" type="noConversion"/>
  <dataValidations count="5">
    <dataValidation type="list" allowBlank="1" showInputMessage="1" showErrorMessage="1" sqref="C14:C19">
      <formula1>Motosierras</formula1>
    </dataValidation>
    <dataValidation type="list" allowBlank="1" showInputMessage="1" showErrorMessage="1" sqref="C20:C23">
      <formula1>Tractores</formula1>
    </dataValidation>
    <dataValidation type="list" allowBlank="1" showInputMessage="1" showErrorMessage="1" sqref="B9">
      <formula1>Lotes</formula1>
    </dataValidation>
    <dataValidation type="list" allowBlank="1" showInputMessage="1" showErrorMessage="1" sqref="B5:D5">
      <formula1>Supervisores</formula1>
    </dataValidation>
    <dataValidation type="list" allowBlank="1" showInputMessage="1" showErrorMessage="1" sqref="N5">
      <formula1>Semanas</formula1>
    </dataValidation>
  </dataValidations>
  <printOptions horizontalCentered="1" verticalCentered="1"/>
  <pageMargins left="0.75000000000000011" right="0.75000000000000011" top="1" bottom="0.6100000000000001" header="0.5" footer="0.5"/>
  <pageSetup paperSize="5" scale="82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pageSetUpPr fitToPage="1"/>
  </sheetPr>
  <dimension ref="A1:P28"/>
  <sheetViews>
    <sheetView view="pageLayout" workbookViewId="0">
      <selection activeCell="A2" sqref="A2:P3"/>
    </sheetView>
  </sheetViews>
  <sheetFormatPr defaultColWidth="11.19921875" defaultRowHeight="15.6"/>
  <sheetData>
    <row r="1" spans="1:16">
      <c r="A1" s="298" t="s">
        <v>84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5" customHeight="1">
      <c r="A2" s="299" t="s">
        <v>85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</row>
    <row r="3" spans="1:16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</row>
    <row r="4" spans="1:16" ht="21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32"/>
      <c r="L4" s="32"/>
      <c r="M4" s="32"/>
      <c r="N4" s="32"/>
      <c r="O4" s="32"/>
      <c r="P4" s="32"/>
    </row>
    <row r="5" spans="1:16">
      <c r="A5" s="3" t="s">
        <v>1</v>
      </c>
      <c r="B5" s="296"/>
      <c r="C5" s="296"/>
      <c r="D5" s="296"/>
      <c r="E5" s="4"/>
      <c r="G5" s="66"/>
      <c r="H5" s="7" t="s">
        <v>24</v>
      </c>
      <c r="I5" s="120" t="str">
        <f>IF($N$5="","",VLOOKUP($N$5,#REF!,2,FALSE))</f>
        <v/>
      </c>
      <c r="J5" s="87"/>
      <c r="M5" s="7" t="s">
        <v>3</v>
      </c>
      <c r="N5" s="21"/>
      <c r="P5" s="32"/>
    </row>
    <row r="6" spans="1:16">
      <c r="A6" s="95"/>
      <c r="B6" s="32"/>
      <c r="C6" s="32"/>
      <c r="D6" s="32"/>
      <c r="E6" s="32"/>
      <c r="F6" s="32"/>
      <c r="G6" s="32"/>
      <c r="H6" s="94"/>
      <c r="I6" s="94"/>
      <c r="J6" s="32"/>
      <c r="K6" s="32"/>
      <c r="L6" s="32"/>
      <c r="M6" s="32"/>
      <c r="N6" s="32"/>
      <c r="O6" s="32"/>
      <c r="P6" s="32"/>
    </row>
    <row r="7" spans="1:16">
      <c r="A7" s="53" t="s">
        <v>6</v>
      </c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6"/>
    </row>
    <row r="8" spans="1:16">
      <c r="A8" s="57"/>
      <c r="B8" s="95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58"/>
    </row>
    <row r="9" spans="1:16">
      <c r="A9" s="50" t="s">
        <v>7</v>
      </c>
      <c r="B9" s="15"/>
      <c r="C9" s="114"/>
      <c r="D9" s="2"/>
      <c r="E9" s="2"/>
      <c r="F9" s="69"/>
      <c r="G9" s="69"/>
      <c r="H9" s="69"/>
      <c r="I9" s="69"/>
      <c r="J9" s="69"/>
      <c r="K9" s="69"/>
      <c r="L9" s="69"/>
      <c r="M9" s="2"/>
      <c r="N9" s="2"/>
      <c r="O9" s="2"/>
      <c r="P9" s="13"/>
    </row>
    <row r="10" spans="1:16">
      <c r="A10" s="51" t="s">
        <v>31</v>
      </c>
      <c r="B10" s="296" t="str">
        <f>IF($B$9="","",VLOOKUP($B$9,#REF!,11,FALSE))</f>
        <v/>
      </c>
      <c r="C10" s="296"/>
      <c r="D10" s="67" t="s">
        <v>8</v>
      </c>
      <c r="E10" s="67" t="str">
        <f>IF($B$9="","",VLOOKUP($B$9,#REF!,10,FALSE))</f>
        <v/>
      </c>
      <c r="F10" s="122" t="s">
        <v>74</v>
      </c>
      <c r="G10" s="61" t="s">
        <v>9</v>
      </c>
      <c r="H10" s="62"/>
      <c r="I10" s="63"/>
      <c r="J10" s="64" t="s">
        <v>10</v>
      </c>
      <c r="K10" s="64"/>
      <c r="L10" s="63"/>
      <c r="M10" s="4"/>
      <c r="N10" s="21" t="s">
        <v>78</v>
      </c>
      <c r="O10" s="4"/>
      <c r="P10" s="17"/>
    </row>
    <row r="11" spans="1:16" ht="16.2" thickBot="1">
      <c r="A11" s="96"/>
      <c r="B11" s="96"/>
      <c r="C11" s="94"/>
      <c r="D11" s="94"/>
      <c r="E11" s="96"/>
      <c r="F11" s="96"/>
      <c r="G11" s="94"/>
      <c r="H11" s="96"/>
      <c r="I11" s="32"/>
      <c r="J11" s="32"/>
      <c r="K11" s="32"/>
      <c r="L11" s="32"/>
      <c r="M11" s="32"/>
      <c r="N11" s="32"/>
      <c r="O11" s="32"/>
      <c r="P11" s="32"/>
    </row>
    <row r="12" spans="1:16">
      <c r="A12" s="322" t="s">
        <v>12</v>
      </c>
      <c r="B12" s="369" t="s">
        <v>34</v>
      </c>
      <c r="C12" s="369"/>
      <c r="D12" s="320" t="s">
        <v>15</v>
      </c>
      <c r="E12" s="321"/>
      <c r="F12" s="320" t="s">
        <v>16</v>
      </c>
      <c r="G12" s="321"/>
      <c r="H12" s="320" t="s">
        <v>17</v>
      </c>
      <c r="I12" s="321"/>
      <c r="J12" s="320" t="s">
        <v>18</v>
      </c>
      <c r="K12" s="321"/>
      <c r="L12" s="320" t="s">
        <v>19</v>
      </c>
      <c r="M12" s="321"/>
      <c r="N12" s="320" t="s">
        <v>20</v>
      </c>
      <c r="O12" s="321"/>
      <c r="P12" s="322" t="s">
        <v>22</v>
      </c>
    </row>
    <row r="13" spans="1:16" ht="16.2" thickBot="1">
      <c r="A13" s="323"/>
      <c r="B13" s="379"/>
      <c r="C13" s="379"/>
      <c r="D13" s="191" t="s">
        <v>35</v>
      </c>
      <c r="E13" s="192" t="s">
        <v>36</v>
      </c>
      <c r="F13" s="191" t="s">
        <v>35</v>
      </c>
      <c r="G13" s="192" t="s">
        <v>36</v>
      </c>
      <c r="H13" s="191" t="s">
        <v>35</v>
      </c>
      <c r="I13" s="192" t="s">
        <v>36</v>
      </c>
      <c r="J13" s="191" t="s">
        <v>35</v>
      </c>
      <c r="K13" s="192" t="s">
        <v>36</v>
      </c>
      <c r="L13" s="191" t="s">
        <v>35</v>
      </c>
      <c r="M13" s="192" t="s">
        <v>36</v>
      </c>
      <c r="N13" s="191" t="s">
        <v>35</v>
      </c>
      <c r="O13" s="192" t="s">
        <v>36</v>
      </c>
      <c r="P13" s="323"/>
    </row>
    <row r="14" spans="1:16" ht="28.05" customHeight="1">
      <c r="A14" s="70">
        <v>1</v>
      </c>
      <c r="B14" s="193" t="s">
        <v>86</v>
      </c>
      <c r="C14" s="194"/>
      <c r="D14" s="187" t="s">
        <v>104</v>
      </c>
      <c r="E14" s="72"/>
      <c r="F14" s="187" t="s">
        <v>104</v>
      </c>
      <c r="G14" s="72"/>
      <c r="H14" s="187" t="s">
        <v>104</v>
      </c>
      <c r="I14" s="72"/>
      <c r="J14" s="187" t="s">
        <v>104</v>
      </c>
      <c r="K14" s="72"/>
      <c r="L14" s="187" t="s">
        <v>104</v>
      </c>
      <c r="M14" s="73"/>
      <c r="N14" s="187" t="s">
        <v>104</v>
      </c>
      <c r="O14" s="73"/>
      <c r="P14" s="74"/>
    </row>
    <row r="15" spans="1:16" ht="28.05" customHeight="1">
      <c r="A15" s="75">
        <v>2</v>
      </c>
      <c r="B15" s="155" t="s">
        <v>82</v>
      </c>
      <c r="C15" s="156"/>
      <c r="D15" s="185" t="s">
        <v>104</v>
      </c>
      <c r="E15" s="78"/>
      <c r="F15" s="185" t="s">
        <v>104</v>
      </c>
      <c r="G15" s="78"/>
      <c r="H15" s="185" t="s">
        <v>104</v>
      </c>
      <c r="I15" s="78"/>
      <c r="J15" s="185" t="s">
        <v>104</v>
      </c>
      <c r="K15" s="78"/>
      <c r="L15" s="185" t="s">
        <v>104</v>
      </c>
      <c r="M15" s="79"/>
      <c r="N15" s="185" t="s">
        <v>104</v>
      </c>
      <c r="O15" s="79"/>
      <c r="P15" s="80"/>
    </row>
    <row r="16" spans="1:16" ht="28.05" customHeight="1">
      <c r="A16" s="75">
        <v>3</v>
      </c>
      <c r="B16" s="155" t="s">
        <v>82</v>
      </c>
      <c r="C16" s="156"/>
      <c r="D16" s="185" t="s">
        <v>104</v>
      </c>
      <c r="E16" s="78"/>
      <c r="F16" s="185" t="s">
        <v>104</v>
      </c>
      <c r="G16" s="78"/>
      <c r="H16" s="185" t="s">
        <v>104</v>
      </c>
      <c r="I16" s="78"/>
      <c r="J16" s="185" t="s">
        <v>104</v>
      </c>
      <c r="K16" s="78"/>
      <c r="L16" s="185" t="s">
        <v>104</v>
      </c>
      <c r="M16" s="79"/>
      <c r="N16" s="185" t="s">
        <v>104</v>
      </c>
      <c r="O16" s="79"/>
      <c r="P16" s="80"/>
    </row>
    <row r="17" spans="1:16" ht="28.05" customHeight="1">
      <c r="A17" s="75">
        <v>4</v>
      </c>
      <c r="B17" s="155" t="s">
        <v>82</v>
      </c>
      <c r="C17" s="156"/>
      <c r="D17" s="185" t="s">
        <v>104</v>
      </c>
      <c r="E17" s="78"/>
      <c r="F17" s="185" t="s">
        <v>104</v>
      </c>
      <c r="G17" s="78"/>
      <c r="H17" s="185" t="s">
        <v>104</v>
      </c>
      <c r="I17" s="78"/>
      <c r="J17" s="185" t="s">
        <v>104</v>
      </c>
      <c r="K17" s="78"/>
      <c r="L17" s="185" t="s">
        <v>104</v>
      </c>
      <c r="M17" s="79"/>
      <c r="N17" s="185" t="s">
        <v>104</v>
      </c>
      <c r="O17" s="79"/>
      <c r="P17" s="80"/>
    </row>
    <row r="18" spans="1:16" ht="28.05" customHeight="1">
      <c r="A18" s="75">
        <v>5</v>
      </c>
      <c r="B18" s="155" t="s">
        <v>82</v>
      </c>
      <c r="C18" s="156"/>
      <c r="D18" s="185" t="s">
        <v>104</v>
      </c>
      <c r="E18" s="78"/>
      <c r="F18" s="185" t="s">
        <v>104</v>
      </c>
      <c r="G18" s="78"/>
      <c r="H18" s="185" t="s">
        <v>104</v>
      </c>
      <c r="I18" s="78"/>
      <c r="J18" s="185" t="s">
        <v>104</v>
      </c>
      <c r="K18" s="78"/>
      <c r="L18" s="185" t="s">
        <v>104</v>
      </c>
      <c r="M18" s="79"/>
      <c r="N18" s="185" t="s">
        <v>104</v>
      </c>
      <c r="O18" s="79"/>
      <c r="P18" s="80"/>
    </row>
    <row r="19" spans="1:16" ht="28.05" customHeight="1" thickBot="1">
      <c r="A19" s="142">
        <v>6</v>
      </c>
      <c r="B19" s="157" t="s">
        <v>82</v>
      </c>
      <c r="C19" s="158"/>
      <c r="D19" s="184" t="s">
        <v>104</v>
      </c>
      <c r="E19" s="143"/>
      <c r="F19" s="184" t="s">
        <v>104</v>
      </c>
      <c r="G19" s="143"/>
      <c r="H19" s="184" t="s">
        <v>104</v>
      </c>
      <c r="I19" s="143"/>
      <c r="J19" s="184" t="s">
        <v>104</v>
      </c>
      <c r="K19" s="143"/>
      <c r="L19" s="184" t="s">
        <v>104</v>
      </c>
      <c r="M19" s="144"/>
      <c r="N19" s="184" t="s">
        <v>104</v>
      </c>
      <c r="O19" s="144"/>
      <c r="P19" s="145"/>
    </row>
    <row r="20" spans="1:16" ht="28.05" customHeight="1">
      <c r="A20" s="146">
        <v>7</v>
      </c>
      <c r="B20" s="160" t="s">
        <v>87</v>
      </c>
      <c r="C20" s="161"/>
      <c r="D20" s="90" t="s">
        <v>81</v>
      </c>
      <c r="E20" s="147"/>
      <c r="F20" s="90" t="s">
        <v>81</v>
      </c>
      <c r="G20" s="147"/>
      <c r="H20" s="90" t="s">
        <v>81</v>
      </c>
      <c r="I20" s="147"/>
      <c r="J20" s="90" t="s">
        <v>81</v>
      </c>
      <c r="K20" s="147"/>
      <c r="L20" s="90" t="s">
        <v>81</v>
      </c>
      <c r="M20" s="147"/>
      <c r="N20" s="90" t="s">
        <v>81</v>
      </c>
      <c r="O20" s="147"/>
      <c r="P20" s="148"/>
    </row>
    <row r="21" spans="1:16" ht="28.05" customHeight="1">
      <c r="A21" s="75">
        <v>8</v>
      </c>
      <c r="B21" s="162" t="s">
        <v>88</v>
      </c>
      <c r="C21" s="163"/>
      <c r="D21" s="77" t="s">
        <v>81</v>
      </c>
      <c r="E21" s="78"/>
      <c r="F21" s="77" t="s">
        <v>81</v>
      </c>
      <c r="G21" s="78"/>
      <c r="H21" s="77" t="s">
        <v>81</v>
      </c>
      <c r="I21" s="78"/>
      <c r="J21" s="77" t="s">
        <v>81</v>
      </c>
      <c r="K21" s="76"/>
      <c r="L21" s="77" t="s">
        <v>81</v>
      </c>
      <c r="M21" s="76"/>
      <c r="N21" s="77" t="s">
        <v>81</v>
      </c>
      <c r="O21" s="149"/>
      <c r="P21" s="150"/>
    </row>
    <row r="22" spans="1:16" ht="28.05" customHeight="1">
      <c r="A22" s="75">
        <v>9</v>
      </c>
      <c r="B22" s="162" t="s">
        <v>88</v>
      </c>
      <c r="C22" s="163"/>
      <c r="D22" s="77" t="s">
        <v>81</v>
      </c>
      <c r="E22" s="30"/>
      <c r="F22" s="77" t="s">
        <v>81</v>
      </c>
      <c r="G22" s="30"/>
      <c r="H22" s="77" t="s">
        <v>81</v>
      </c>
      <c r="I22" s="30"/>
      <c r="J22" s="77" t="s">
        <v>81</v>
      </c>
      <c r="K22" s="151"/>
      <c r="L22" s="77" t="s">
        <v>81</v>
      </c>
      <c r="M22" s="151"/>
      <c r="N22" s="77" t="s">
        <v>81</v>
      </c>
      <c r="O22" s="151"/>
      <c r="P22" s="152"/>
    </row>
    <row r="23" spans="1:16" ht="28.05" customHeight="1" thickBot="1">
      <c r="A23" s="81">
        <v>10</v>
      </c>
      <c r="B23" s="164" t="s">
        <v>87</v>
      </c>
      <c r="C23" s="165"/>
      <c r="D23" s="82" t="s">
        <v>81</v>
      </c>
      <c r="E23" s="31"/>
      <c r="F23" s="82" t="s">
        <v>81</v>
      </c>
      <c r="G23" s="31"/>
      <c r="H23" s="82" t="s">
        <v>81</v>
      </c>
      <c r="I23" s="31"/>
      <c r="J23" s="82" t="s">
        <v>81</v>
      </c>
      <c r="K23" s="153"/>
      <c r="L23" s="82" t="s">
        <v>81</v>
      </c>
      <c r="M23" s="153"/>
      <c r="N23" s="82" t="s">
        <v>81</v>
      </c>
      <c r="O23" s="153"/>
      <c r="P23" s="154"/>
    </row>
    <row r="25" spans="1:16">
      <c r="C25" s="195" t="s">
        <v>105</v>
      </c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</row>
    <row r="26" spans="1:16">
      <c r="C26" s="196"/>
      <c r="D26" s="196"/>
      <c r="E26" s="196"/>
      <c r="F26" s="196"/>
      <c r="G26" s="196"/>
      <c r="H26" s="196"/>
      <c r="I26" s="196"/>
      <c r="J26" s="196"/>
      <c r="K26" s="196"/>
      <c r="L26" s="196"/>
      <c r="M26" s="196"/>
      <c r="N26" s="196"/>
      <c r="O26" s="196"/>
      <c r="P26" s="196"/>
    </row>
    <row r="28" spans="1:16">
      <c r="C28" s="196" t="s">
        <v>168</v>
      </c>
      <c r="D28" s="196"/>
      <c r="E28" s="196"/>
      <c r="F28" s="196"/>
      <c r="G28" s="196"/>
      <c r="H28" s="196"/>
      <c r="I28" s="196"/>
      <c r="J28" s="196"/>
      <c r="K28" s="196"/>
      <c r="L28" s="196"/>
    </row>
  </sheetData>
  <mergeCells count="13">
    <mergeCell ref="B10:C10"/>
    <mergeCell ref="N12:O12"/>
    <mergeCell ref="P12:P13"/>
    <mergeCell ref="A1:P1"/>
    <mergeCell ref="A2:P3"/>
    <mergeCell ref="B5:D5"/>
    <mergeCell ref="A12:A13"/>
    <mergeCell ref="B12:C13"/>
    <mergeCell ref="D12:E12"/>
    <mergeCell ref="F12:G12"/>
    <mergeCell ref="H12:I12"/>
    <mergeCell ref="J12:K12"/>
    <mergeCell ref="L12:M12"/>
  </mergeCells>
  <phoneticPr fontId="6" type="noConversion"/>
  <dataValidations count="6">
    <dataValidation type="list" allowBlank="1" showInputMessage="1" showErrorMessage="1" sqref="C20:C23">
      <formula1>Tractores</formula1>
    </dataValidation>
    <dataValidation type="list" allowBlank="1" showInputMessage="1" showErrorMessage="1" sqref="C15:C19">
      <formula1>Motosierras</formula1>
    </dataValidation>
    <dataValidation type="list" allowBlank="1" showInputMessage="1" showErrorMessage="1" sqref="C14">
      <formula1>Cosechador</formula1>
    </dataValidation>
    <dataValidation type="list" allowBlank="1" showInputMessage="1" showErrorMessage="1" sqref="B9">
      <formula1>Lotes</formula1>
    </dataValidation>
    <dataValidation type="list" allowBlank="1" showInputMessage="1" showErrorMessage="1" sqref="N5">
      <formula1>Semanas</formula1>
    </dataValidation>
    <dataValidation type="list" allowBlank="1" showInputMessage="1" showErrorMessage="1" sqref="B5:D5">
      <formula1>Supervisores</formula1>
    </dataValidation>
  </dataValidations>
  <printOptions horizontalCentered="1" verticalCentered="1"/>
  <pageMargins left="0.67" right="0.67" top="1" bottom="0.6100000000000001" header="0.5" footer="0.5"/>
  <pageSetup paperSize="5" scale="83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pageSetUpPr fitToPage="1"/>
  </sheetPr>
  <dimension ref="A1:P21"/>
  <sheetViews>
    <sheetView view="pageLayout" topLeftCell="A2" workbookViewId="0">
      <selection activeCell="A2" sqref="A2:P3"/>
    </sheetView>
  </sheetViews>
  <sheetFormatPr defaultColWidth="11.19921875" defaultRowHeight="15.6"/>
  <sheetData>
    <row r="1" spans="1:16">
      <c r="A1" s="298" t="s">
        <v>89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5" customHeight="1">
      <c r="A2" s="299" t="s">
        <v>90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</row>
    <row r="3" spans="1:16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</row>
    <row r="4" spans="1:16" ht="21">
      <c r="A4" s="141"/>
      <c r="B4" s="141"/>
      <c r="C4" s="141"/>
      <c r="D4" s="141"/>
      <c r="E4" s="141"/>
      <c r="F4" s="141"/>
      <c r="G4" s="141"/>
      <c r="H4" s="141"/>
      <c r="I4" s="141"/>
      <c r="J4" s="141"/>
      <c r="K4" s="32"/>
      <c r="L4" s="32"/>
      <c r="M4" s="32"/>
      <c r="N4" s="32"/>
      <c r="O4" s="32"/>
      <c r="P4" s="32"/>
    </row>
    <row r="5" spans="1:16">
      <c r="A5" s="3" t="s">
        <v>1</v>
      </c>
      <c r="B5" s="296"/>
      <c r="C5" s="296"/>
      <c r="D5" s="296"/>
      <c r="E5" s="4"/>
      <c r="G5" s="66"/>
      <c r="H5" s="7" t="s">
        <v>24</v>
      </c>
      <c r="I5" s="120" t="str">
        <f>IF($N$5="","",VLOOKUP($N$5,#REF!,2,FALSE))</f>
        <v/>
      </c>
      <c r="J5" s="87"/>
      <c r="M5" s="7" t="s">
        <v>3</v>
      </c>
      <c r="N5" s="21"/>
      <c r="O5" s="32"/>
      <c r="P5" s="32"/>
    </row>
    <row r="6" spans="1:16">
      <c r="A6" s="95"/>
      <c r="B6" s="32"/>
      <c r="C6" s="32"/>
      <c r="D6" s="32"/>
      <c r="E6" s="32"/>
      <c r="F6" s="32"/>
      <c r="G6" s="32"/>
      <c r="H6" s="94"/>
      <c r="I6" s="94"/>
      <c r="J6" s="32"/>
      <c r="K6" s="32"/>
      <c r="L6" s="32"/>
      <c r="M6" s="32"/>
      <c r="N6" s="32"/>
      <c r="O6" s="32"/>
      <c r="P6" s="32"/>
    </row>
    <row r="7" spans="1:16">
      <c r="A7" s="53" t="s">
        <v>6</v>
      </c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6"/>
    </row>
    <row r="8" spans="1:16">
      <c r="A8" s="57"/>
      <c r="B8" s="95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58"/>
    </row>
    <row r="9" spans="1:16">
      <c r="A9" s="50" t="s">
        <v>7</v>
      </c>
      <c r="B9" s="15"/>
      <c r="C9" s="114"/>
      <c r="D9" s="2"/>
      <c r="E9" s="2"/>
      <c r="F9" s="69"/>
      <c r="G9" s="69"/>
      <c r="H9" s="69"/>
      <c r="I9" s="69"/>
      <c r="J9" s="69"/>
      <c r="K9" s="69"/>
      <c r="L9" s="69"/>
      <c r="M9" s="2"/>
      <c r="N9" s="2"/>
      <c r="O9" s="2"/>
      <c r="P9" s="13"/>
    </row>
    <row r="10" spans="1:16">
      <c r="A10" s="51" t="s">
        <v>31</v>
      </c>
      <c r="B10" s="296" t="str">
        <f>IF($B$9="","",VLOOKUP($B$9,#REF!,11,FALSE))</f>
        <v/>
      </c>
      <c r="C10" s="296"/>
      <c r="D10" s="67" t="s">
        <v>8</v>
      </c>
      <c r="E10" s="67" t="str">
        <f>IF($B$9="","",VLOOKUP($B$9,#REF!,10,FALSE))</f>
        <v/>
      </c>
      <c r="F10" s="122" t="s">
        <v>74</v>
      </c>
      <c r="G10" s="61" t="s">
        <v>9</v>
      </c>
      <c r="H10" s="62"/>
      <c r="I10" s="63"/>
      <c r="J10" s="64" t="s">
        <v>10</v>
      </c>
      <c r="K10" s="64"/>
      <c r="L10" s="63"/>
      <c r="M10" s="4"/>
      <c r="N10" s="21" t="s">
        <v>78</v>
      </c>
      <c r="O10" s="4"/>
      <c r="P10" s="17"/>
    </row>
    <row r="11" spans="1:16" ht="16.2" thickBot="1">
      <c r="A11" s="96"/>
      <c r="B11" s="96"/>
      <c r="C11" s="94"/>
      <c r="D11" s="94"/>
      <c r="E11" s="96"/>
      <c r="F11" s="96"/>
      <c r="G11" s="94"/>
      <c r="H11" s="96"/>
      <c r="I11" s="32"/>
      <c r="J11" s="32"/>
      <c r="K11" s="32"/>
      <c r="L11" s="32"/>
      <c r="M11" s="32"/>
      <c r="N11" s="32"/>
      <c r="O11" s="32"/>
      <c r="P11" s="32"/>
    </row>
    <row r="12" spans="1:16">
      <c r="A12" s="322" t="s">
        <v>12</v>
      </c>
      <c r="B12" s="320" t="s">
        <v>34</v>
      </c>
      <c r="C12" s="321"/>
      <c r="D12" s="320" t="s">
        <v>15</v>
      </c>
      <c r="E12" s="321"/>
      <c r="F12" s="320" t="s">
        <v>16</v>
      </c>
      <c r="G12" s="321"/>
      <c r="H12" s="320" t="s">
        <v>17</v>
      </c>
      <c r="I12" s="321"/>
      <c r="J12" s="320" t="s">
        <v>18</v>
      </c>
      <c r="K12" s="321"/>
      <c r="L12" s="320" t="s">
        <v>19</v>
      </c>
      <c r="M12" s="321"/>
      <c r="N12" s="320" t="s">
        <v>20</v>
      </c>
      <c r="O12" s="321"/>
      <c r="P12" s="322" t="s">
        <v>22</v>
      </c>
    </row>
    <row r="13" spans="1:16" ht="16.2" thickBot="1">
      <c r="A13" s="323"/>
      <c r="B13" s="345"/>
      <c r="C13" s="346"/>
      <c r="D13" s="123" t="s">
        <v>35</v>
      </c>
      <c r="E13" s="124" t="s">
        <v>36</v>
      </c>
      <c r="F13" s="123" t="s">
        <v>35</v>
      </c>
      <c r="G13" s="124" t="s">
        <v>36</v>
      </c>
      <c r="H13" s="123" t="s">
        <v>35</v>
      </c>
      <c r="I13" s="124" t="s">
        <v>36</v>
      </c>
      <c r="J13" s="123" t="s">
        <v>35</v>
      </c>
      <c r="K13" s="124" t="s">
        <v>36</v>
      </c>
      <c r="L13" s="123" t="s">
        <v>35</v>
      </c>
      <c r="M13" s="124" t="s">
        <v>36</v>
      </c>
      <c r="N13" s="123" t="s">
        <v>35</v>
      </c>
      <c r="O13" s="124" t="s">
        <v>36</v>
      </c>
      <c r="P13" s="323"/>
    </row>
    <row r="14" spans="1:16" ht="28.05" customHeight="1">
      <c r="A14" s="70">
        <v>1</v>
      </c>
      <c r="B14" s="314" t="s">
        <v>91</v>
      </c>
      <c r="C14" s="315"/>
      <c r="D14" s="71" t="s">
        <v>92</v>
      </c>
      <c r="E14" s="72"/>
      <c r="F14" s="71" t="s">
        <v>92</v>
      </c>
      <c r="G14" s="72"/>
      <c r="H14" s="71" t="s">
        <v>92</v>
      </c>
      <c r="I14" s="72"/>
      <c r="J14" s="71" t="s">
        <v>92</v>
      </c>
      <c r="K14" s="72"/>
      <c r="L14" s="71" t="s">
        <v>92</v>
      </c>
      <c r="M14" s="73"/>
      <c r="N14" s="71" t="s">
        <v>92</v>
      </c>
      <c r="O14" s="73"/>
      <c r="P14" s="74"/>
    </row>
    <row r="15" spans="1:16" ht="28.05" customHeight="1">
      <c r="A15" s="75">
        <v>2</v>
      </c>
      <c r="B15" s="312" t="s">
        <v>93</v>
      </c>
      <c r="C15" s="313"/>
      <c r="D15" s="71" t="s">
        <v>92</v>
      </c>
      <c r="E15" s="78"/>
      <c r="F15" s="71" t="s">
        <v>92</v>
      </c>
      <c r="G15" s="78"/>
      <c r="H15" s="71" t="s">
        <v>92</v>
      </c>
      <c r="I15" s="78"/>
      <c r="J15" s="71" t="s">
        <v>92</v>
      </c>
      <c r="K15" s="78"/>
      <c r="L15" s="71" t="s">
        <v>92</v>
      </c>
      <c r="M15" s="79"/>
      <c r="N15" s="71" t="s">
        <v>92</v>
      </c>
      <c r="O15" s="79"/>
      <c r="P15" s="80"/>
    </row>
    <row r="16" spans="1:16" ht="28.05" customHeight="1">
      <c r="A16" s="75">
        <v>3</v>
      </c>
      <c r="B16" s="312" t="s">
        <v>94</v>
      </c>
      <c r="C16" s="313"/>
      <c r="D16" s="71" t="s">
        <v>92</v>
      </c>
      <c r="E16" s="78"/>
      <c r="F16" s="71" t="s">
        <v>92</v>
      </c>
      <c r="G16" s="78"/>
      <c r="H16" s="71" t="s">
        <v>92</v>
      </c>
      <c r="I16" s="78"/>
      <c r="J16" s="71" t="s">
        <v>92</v>
      </c>
      <c r="K16" s="78"/>
      <c r="L16" s="71" t="s">
        <v>92</v>
      </c>
      <c r="M16" s="79"/>
      <c r="N16" s="71" t="s">
        <v>92</v>
      </c>
      <c r="O16" s="79"/>
      <c r="P16" s="80"/>
    </row>
    <row r="17" spans="1:16" ht="28.05" customHeight="1">
      <c r="A17" s="75">
        <v>4</v>
      </c>
      <c r="B17" s="312" t="s">
        <v>95</v>
      </c>
      <c r="C17" s="313"/>
      <c r="D17" s="71" t="s">
        <v>92</v>
      </c>
      <c r="E17" s="78"/>
      <c r="F17" s="71" t="s">
        <v>92</v>
      </c>
      <c r="G17" s="78"/>
      <c r="H17" s="71" t="s">
        <v>92</v>
      </c>
      <c r="I17" s="78"/>
      <c r="J17" s="71" t="s">
        <v>92</v>
      </c>
      <c r="K17" s="78"/>
      <c r="L17" s="71" t="s">
        <v>92</v>
      </c>
      <c r="M17" s="79"/>
      <c r="N17" s="71" t="s">
        <v>92</v>
      </c>
      <c r="O17" s="79"/>
      <c r="P17" s="80"/>
    </row>
    <row r="18" spans="1:16" ht="28.05" customHeight="1">
      <c r="A18" s="75">
        <v>5</v>
      </c>
      <c r="B18" s="312" t="s">
        <v>96</v>
      </c>
      <c r="C18" s="313"/>
      <c r="D18" s="77" t="s">
        <v>35</v>
      </c>
      <c r="E18" s="78"/>
      <c r="F18" s="77" t="s">
        <v>35</v>
      </c>
      <c r="G18" s="78"/>
      <c r="H18" s="77" t="s">
        <v>35</v>
      </c>
      <c r="I18" s="78"/>
      <c r="J18" s="77" t="s">
        <v>35</v>
      </c>
      <c r="K18" s="78"/>
      <c r="L18" s="77" t="s">
        <v>35</v>
      </c>
      <c r="M18" s="79"/>
      <c r="N18" s="77" t="s">
        <v>35</v>
      </c>
      <c r="O18" s="79"/>
      <c r="P18" s="80"/>
    </row>
    <row r="19" spans="1:16" ht="28.05" customHeight="1">
      <c r="A19" s="75">
        <v>6</v>
      </c>
      <c r="B19" s="312" t="s">
        <v>46</v>
      </c>
      <c r="C19" s="313"/>
      <c r="D19" s="77" t="s">
        <v>35</v>
      </c>
      <c r="E19" s="78"/>
      <c r="F19" s="77" t="s">
        <v>35</v>
      </c>
      <c r="G19" s="78"/>
      <c r="H19" s="77" t="s">
        <v>35</v>
      </c>
      <c r="I19" s="78"/>
      <c r="J19" s="77" t="s">
        <v>35</v>
      </c>
      <c r="K19" s="78"/>
      <c r="L19" s="77" t="s">
        <v>35</v>
      </c>
      <c r="M19" s="79"/>
      <c r="N19" s="77" t="s">
        <v>35</v>
      </c>
      <c r="O19" s="79"/>
      <c r="P19" s="80"/>
    </row>
    <row r="20" spans="1:16" ht="28.05" customHeight="1">
      <c r="A20" s="75">
        <v>7</v>
      </c>
      <c r="B20" s="312" t="s">
        <v>45</v>
      </c>
      <c r="C20" s="313"/>
      <c r="D20" s="77" t="s">
        <v>35</v>
      </c>
      <c r="E20" s="78"/>
      <c r="F20" s="77" t="s">
        <v>35</v>
      </c>
      <c r="G20" s="78"/>
      <c r="H20" s="77" t="s">
        <v>35</v>
      </c>
      <c r="I20" s="78"/>
      <c r="J20" s="77" t="s">
        <v>35</v>
      </c>
      <c r="K20" s="78"/>
      <c r="L20" s="77" t="s">
        <v>35</v>
      </c>
      <c r="M20" s="79"/>
      <c r="N20" s="77" t="s">
        <v>35</v>
      </c>
      <c r="O20" s="79"/>
      <c r="P20" s="80"/>
    </row>
    <row r="21" spans="1:16" ht="28.05" customHeight="1" thickBot="1">
      <c r="A21" s="81">
        <v>8</v>
      </c>
      <c r="B21" s="308" t="s">
        <v>47</v>
      </c>
      <c r="C21" s="309"/>
      <c r="D21" s="82" t="s">
        <v>35</v>
      </c>
      <c r="E21" s="83"/>
      <c r="F21" s="82" t="s">
        <v>35</v>
      </c>
      <c r="G21" s="83"/>
      <c r="H21" s="82" t="s">
        <v>35</v>
      </c>
      <c r="I21" s="83"/>
      <c r="J21" s="82" t="s">
        <v>35</v>
      </c>
      <c r="K21" s="83"/>
      <c r="L21" s="82" t="s">
        <v>35</v>
      </c>
      <c r="M21" s="84"/>
      <c r="N21" s="82" t="s">
        <v>35</v>
      </c>
      <c r="O21" s="84"/>
      <c r="P21" s="85"/>
    </row>
  </sheetData>
  <mergeCells count="21">
    <mergeCell ref="A1:P1"/>
    <mergeCell ref="A2:P3"/>
    <mergeCell ref="B5:D5"/>
    <mergeCell ref="A12:A13"/>
    <mergeCell ref="B12:C13"/>
    <mergeCell ref="D12:E12"/>
    <mergeCell ref="F12:G12"/>
    <mergeCell ref="H12:I12"/>
    <mergeCell ref="J12:K12"/>
    <mergeCell ref="L12:M12"/>
    <mergeCell ref="N12:O12"/>
    <mergeCell ref="P12:P13"/>
    <mergeCell ref="B20:C20"/>
    <mergeCell ref="B21:C21"/>
    <mergeCell ref="B10:C10"/>
    <mergeCell ref="B17:C17"/>
    <mergeCell ref="B14:C14"/>
    <mergeCell ref="B15:C15"/>
    <mergeCell ref="B16:C16"/>
    <mergeCell ref="B18:C18"/>
    <mergeCell ref="B19:C19"/>
  </mergeCells>
  <phoneticPr fontId="6" type="noConversion"/>
  <dataValidations count="6">
    <dataValidation type="list" allowBlank="1" showInputMessage="1" showErrorMessage="1" sqref="C14">
      <formula1>Cosechador</formula1>
    </dataValidation>
    <dataValidation type="list" allowBlank="1" showInputMessage="1" showErrorMessage="1" sqref="C15:C19">
      <formula1>Motosierras</formula1>
    </dataValidation>
    <dataValidation type="list" allowBlank="1" showInputMessage="1" showErrorMessage="1" sqref="C20:C21">
      <formula1>Tractores</formula1>
    </dataValidation>
    <dataValidation type="list" allowBlank="1" showInputMessage="1" showErrorMessage="1" sqref="B9">
      <formula1>Lotes</formula1>
    </dataValidation>
    <dataValidation type="list" allowBlank="1" showInputMessage="1" showErrorMessage="1" sqref="B5:D5">
      <formula1>Supervisores</formula1>
    </dataValidation>
    <dataValidation type="list" allowBlank="1" showInputMessage="1" showErrorMessage="1" sqref="N5">
      <formula1>Semanas</formula1>
    </dataValidation>
  </dataValidations>
  <printOptions horizontalCentered="1" verticalCentered="1"/>
  <pageMargins left="0.67" right="0.67" top="1" bottom="0.6100000000000001" header="0.5" footer="0.5"/>
  <pageSetup paperSize="5" scale="83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pageSetUpPr fitToPage="1"/>
  </sheetPr>
  <dimension ref="A1:M29"/>
  <sheetViews>
    <sheetView view="pageLayout" workbookViewId="0">
      <selection activeCell="A2" sqref="A2:M3"/>
    </sheetView>
  </sheetViews>
  <sheetFormatPr defaultColWidth="11.19921875" defaultRowHeight="15.6"/>
  <cols>
    <col min="4" max="5" width="17.796875" customWidth="1"/>
    <col min="14" max="14" width="3.5" customWidth="1"/>
  </cols>
  <sheetData>
    <row r="1" spans="1:13">
      <c r="A1" s="298" t="s">
        <v>170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</row>
    <row r="2" spans="1:13">
      <c r="A2" s="299" t="s">
        <v>97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</row>
    <row r="3" spans="1:13" ht="10.050000000000001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</row>
    <row r="4" spans="1:13" ht="1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2"/>
    </row>
    <row r="5" spans="1:13">
      <c r="A5" s="3" t="s">
        <v>1</v>
      </c>
      <c r="B5" s="296"/>
      <c r="C5" s="296"/>
      <c r="D5" s="296"/>
      <c r="E5" s="255"/>
      <c r="F5" s="2"/>
      <c r="H5" s="7" t="s">
        <v>24</v>
      </c>
      <c r="I5" s="120" t="str">
        <f>IF($M$5="","",VLOOKUP($M$5,#REF!,2,FALSE))</f>
        <v/>
      </c>
      <c r="J5" s="87"/>
      <c r="L5" s="7" t="s">
        <v>3</v>
      </c>
      <c r="M5" s="21"/>
    </row>
    <row r="6" spans="1:13" ht="12" customHeight="1">
      <c r="A6" s="3"/>
      <c r="I6" s="66"/>
      <c r="J6" s="66"/>
    </row>
    <row r="7" spans="1:13" ht="12" customHeight="1">
      <c r="A7" s="3"/>
      <c r="I7" s="7"/>
      <c r="J7" s="2"/>
    </row>
    <row r="8" spans="1:13">
      <c r="A8" s="18" t="s">
        <v>6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1"/>
    </row>
    <row r="9" spans="1:13" ht="13.95" customHeight="1">
      <c r="A9" s="1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13"/>
    </row>
    <row r="10" spans="1:13">
      <c r="A10" s="166" t="s">
        <v>7</v>
      </c>
      <c r="B10" s="67"/>
      <c r="C10" s="86"/>
      <c r="D10" s="67" t="s">
        <v>8</v>
      </c>
      <c r="E10" s="251"/>
      <c r="F10" s="67"/>
      <c r="G10" s="86"/>
      <c r="H10" s="67" t="s">
        <v>9</v>
      </c>
      <c r="I10" s="86"/>
      <c r="J10" s="4"/>
      <c r="K10" s="21" t="s">
        <v>10</v>
      </c>
      <c r="L10" s="4"/>
      <c r="M10" s="17"/>
    </row>
    <row r="11" spans="1:13">
      <c r="A11" s="22"/>
      <c r="B11" s="15"/>
      <c r="C11" s="23"/>
      <c r="D11" s="23"/>
      <c r="E11" s="254"/>
      <c r="F11" s="15"/>
      <c r="G11" s="15"/>
      <c r="H11" s="23"/>
      <c r="I11" s="15"/>
      <c r="J11" s="2"/>
      <c r="K11" s="2"/>
      <c r="L11" s="2"/>
    </row>
    <row r="12" spans="1:13" ht="16.2" thickBot="1">
      <c r="A12" s="300" t="s">
        <v>98</v>
      </c>
      <c r="B12" s="300"/>
      <c r="C12" s="300"/>
      <c r="D12" s="23"/>
      <c r="E12" s="254"/>
      <c r="F12" s="15"/>
      <c r="G12" s="15"/>
      <c r="H12" s="23"/>
      <c r="I12" s="15"/>
      <c r="J12" s="2"/>
      <c r="K12" s="2"/>
      <c r="L12" s="2"/>
    </row>
    <row r="13" spans="1:13" ht="16.2" thickBot="1">
      <c r="A13" s="66"/>
      <c r="B13" s="66"/>
      <c r="C13" s="66"/>
      <c r="D13" s="2"/>
      <c r="E13" s="2"/>
      <c r="F13" s="386" t="s">
        <v>99</v>
      </c>
      <c r="G13" s="387"/>
      <c r="H13" s="387"/>
      <c r="I13" s="387"/>
      <c r="J13" s="387"/>
      <c r="K13" s="387"/>
      <c r="L13" s="388"/>
    </row>
    <row r="14" spans="1:13" ht="16.2" thickBot="1">
      <c r="A14" s="175" t="s">
        <v>12</v>
      </c>
      <c r="B14" s="389" t="s">
        <v>13</v>
      </c>
      <c r="C14" s="390"/>
      <c r="D14" s="175" t="s">
        <v>23</v>
      </c>
      <c r="E14" s="175" t="s">
        <v>169</v>
      </c>
      <c r="F14" s="174" t="s">
        <v>15</v>
      </c>
      <c r="G14" s="167" t="s">
        <v>16</v>
      </c>
      <c r="H14" s="167" t="s">
        <v>17</v>
      </c>
      <c r="I14" s="167" t="s">
        <v>18</v>
      </c>
      <c r="J14" s="167" t="s">
        <v>19</v>
      </c>
      <c r="K14" s="167" t="s">
        <v>20</v>
      </c>
      <c r="L14" s="168" t="s">
        <v>21</v>
      </c>
      <c r="M14" s="169" t="s">
        <v>22</v>
      </c>
    </row>
    <row r="15" spans="1:13">
      <c r="A15" s="125">
        <v>1</v>
      </c>
      <c r="B15" s="384"/>
      <c r="C15" s="385"/>
      <c r="D15" s="176" t="str">
        <f>IF($B15="","",VLOOKUP($B15,#REF!,2,FALSE))</f>
        <v/>
      </c>
      <c r="E15" s="176"/>
      <c r="F15" s="38"/>
      <c r="G15" s="34"/>
      <c r="H15" s="34"/>
      <c r="I15" s="34"/>
      <c r="J15" s="34"/>
      <c r="K15" s="34"/>
      <c r="L15" s="171"/>
      <c r="M15" s="170"/>
    </row>
    <row r="16" spans="1:13">
      <c r="A16" s="75">
        <v>2</v>
      </c>
      <c r="B16" s="380"/>
      <c r="C16" s="381"/>
      <c r="D16" s="177" t="str">
        <f>IF($B16="","",VLOOKUP($B16,#REF!,2,FALSE))</f>
        <v/>
      </c>
      <c r="E16" s="177"/>
      <c r="F16" s="39"/>
      <c r="G16" s="25"/>
      <c r="H16" s="25"/>
      <c r="I16" s="25"/>
      <c r="J16" s="25"/>
      <c r="K16" s="25"/>
      <c r="L16" s="172"/>
      <c r="M16" s="152"/>
    </row>
    <row r="17" spans="1:13">
      <c r="A17" s="75">
        <v>3</v>
      </c>
      <c r="B17" s="380"/>
      <c r="C17" s="381"/>
      <c r="D17" s="177" t="str">
        <f>IF($B17="","",VLOOKUP($B17,#REF!,2,FALSE))</f>
        <v/>
      </c>
      <c r="E17" s="177"/>
      <c r="F17" s="39"/>
      <c r="G17" s="25"/>
      <c r="H17" s="25"/>
      <c r="I17" s="25"/>
      <c r="J17" s="25"/>
      <c r="K17" s="25"/>
      <c r="L17" s="172"/>
      <c r="M17" s="152"/>
    </row>
    <row r="18" spans="1:13">
      <c r="A18" s="75">
        <v>4</v>
      </c>
      <c r="B18" s="380"/>
      <c r="C18" s="381"/>
      <c r="D18" s="177" t="str">
        <f>IF($B18="","",VLOOKUP($B18,#REF!,2,FALSE))</f>
        <v/>
      </c>
      <c r="E18" s="177"/>
      <c r="F18" s="39"/>
      <c r="G18" s="25"/>
      <c r="H18" s="25"/>
      <c r="I18" s="25"/>
      <c r="J18" s="25"/>
      <c r="K18" s="25"/>
      <c r="L18" s="172"/>
      <c r="M18" s="152"/>
    </row>
    <row r="19" spans="1:13">
      <c r="A19" s="75">
        <v>5</v>
      </c>
      <c r="B19" s="380"/>
      <c r="C19" s="381"/>
      <c r="D19" s="177" t="str">
        <f>IF($B19="","",VLOOKUP($B19,#REF!,2,FALSE))</f>
        <v/>
      </c>
      <c r="E19" s="177"/>
      <c r="F19" s="39"/>
      <c r="G19" s="25"/>
      <c r="H19" s="25"/>
      <c r="I19" s="25"/>
      <c r="J19" s="25"/>
      <c r="K19" s="25"/>
      <c r="L19" s="172"/>
      <c r="M19" s="152"/>
    </row>
    <row r="20" spans="1:13">
      <c r="A20" s="75">
        <v>6</v>
      </c>
      <c r="B20" s="380"/>
      <c r="C20" s="381"/>
      <c r="D20" s="177" t="str">
        <f>IF($B20="","",VLOOKUP($B20,#REF!,2,FALSE))</f>
        <v/>
      </c>
      <c r="E20" s="177"/>
      <c r="F20" s="39"/>
      <c r="G20" s="25"/>
      <c r="H20" s="25"/>
      <c r="I20" s="25"/>
      <c r="J20" s="25"/>
      <c r="K20" s="25"/>
      <c r="L20" s="172"/>
      <c r="M20" s="152"/>
    </row>
    <row r="21" spans="1:13">
      <c r="A21" s="75">
        <v>7</v>
      </c>
      <c r="B21" s="380"/>
      <c r="C21" s="381"/>
      <c r="D21" s="177" t="str">
        <f>IF($B21="","",VLOOKUP($B21,#REF!,2,FALSE))</f>
        <v/>
      </c>
      <c r="E21" s="177"/>
      <c r="F21" s="39"/>
      <c r="G21" s="25"/>
      <c r="H21" s="25"/>
      <c r="I21" s="25"/>
      <c r="J21" s="25"/>
      <c r="K21" s="25"/>
      <c r="L21" s="172"/>
      <c r="M21" s="152"/>
    </row>
    <row r="22" spans="1:13">
      <c r="A22" s="75">
        <v>8</v>
      </c>
      <c r="B22" s="380"/>
      <c r="C22" s="381"/>
      <c r="D22" s="177" t="str">
        <f>IF($B22="","",VLOOKUP($B22,#REF!,2,FALSE))</f>
        <v/>
      </c>
      <c r="E22" s="177"/>
      <c r="F22" s="39"/>
      <c r="G22" s="25"/>
      <c r="H22" s="25"/>
      <c r="I22" s="25"/>
      <c r="J22" s="25"/>
      <c r="K22" s="25"/>
      <c r="L22" s="172"/>
      <c r="M22" s="152"/>
    </row>
    <row r="23" spans="1:13">
      <c r="A23" s="75">
        <v>9</v>
      </c>
      <c r="B23" s="380"/>
      <c r="C23" s="381"/>
      <c r="D23" s="177" t="str">
        <f>IF($B23="","",VLOOKUP($B23,#REF!,2,FALSE))</f>
        <v/>
      </c>
      <c r="E23" s="177"/>
      <c r="F23" s="39"/>
      <c r="G23" s="25"/>
      <c r="H23" s="25"/>
      <c r="I23" s="25"/>
      <c r="J23" s="25"/>
      <c r="K23" s="25"/>
      <c r="L23" s="172"/>
      <c r="M23" s="152"/>
    </row>
    <row r="24" spans="1:13">
      <c r="A24" s="75">
        <v>10</v>
      </c>
      <c r="B24" s="380"/>
      <c r="C24" s="381"/>
      <c r="D24" s="177" t="str">
        <f>IF($B24="","",VLOOKUP($B24,#REF!,2,FALSE))</f>
        <v/>
      </c>
      <c r="E24" s="177"/>
      <c r="F24" s="39"/>
      <c r="G24" s="25"/>
      <c r="H24" s="25"/>
      <c r="I24" s="25"/>
      <c r="J24" s="25"/>
      <c r="K24" s="25"/>
      <c r="L24" s="172"/>
      <c r="M24" s="152"/>
    </row>
    <row r="25" spans="1:13">
      <c r="A25" s="75">
        <v>11</v>
      </c>
      <c r="B25" s="380"/>
      <c r="C25" s="381"/>
      <c r="D25" s="177" t="str">
        <f>IF($B25="","",VLOOKUP($B25,#REF!,2,FALSE))</f>
        <v/>
      </c>
      <c r="E25" s="177"/>
      <c r="F25" s="39"/>
      <c r="G25" s="25"/>
      <c r="H25" s="25"/>
      <c r="I25" s="25"/>
      <c r="J25" s="25"/>
      <c r="K25" s="25"/>
      <c r="L25" s="172"/>
      <c r="M25" s="152"/>
    </row>
    <row r="26" spans="1:13">
      <c r="A26" s="75">
        <v>12</v>
      </c>
      <c r="B26" s="380"/>
      <c r="C26" s="381"/>
      <c r="D26" s="177" t="str">
        <f>IF($B26="","",VLOOKUP($B26,#REF!,2,FALSE))</f>
        <v/>
      </c>
      <c r="E26" s="177"/>
      <c r="F26" s="39"/>
      <c r="G26" s="25"/>
      <c r="H26" s="25"/>
      <c r="I26" s="25"/>
      <c r="J26" s="25"/>
      <c r="K26" s="25"/>
      <c r="L26" s="172"/>
      <c r="M26" s="152"/>
    </row>
    <row r="27" spans="1:13">
      <c r="A27" s="75">
        <v>13</v>
      </c>
      <c r="B27" s="380"/>
      <c r="C27" s="381"/>
      <c r="D27" s="177" t="str">
        <f>IF($B27="","",VLOOKUP($B27,#REF!,2,FALSE))</f>
        <v/>
      </c>
      <c r="E27" s="177"/>
      <c r="F27" s="39"/>
      <c r="G27" s="25"/>
      <c r="H27" s="25"/>
      <c r="I27" s="25"/>
      <c r="J27" s="25"/>
      <c r="K27" s="25"/>
      <c r="L27" s="172"/>
      <c r="M27" s="152"/>
    </row>
    <row r="28" spans="1:13">
      <c r="A28" s="75">
        <v>14</v>
      </c>
      <c r="B28" s="380"/>
      <c r="C28" s="381"/>
      <c r="D28" s="177" t="str">
        <f>IF($B28="","",VLOOKUP($B28,#REF!,2,FALSE))</f>
        <v/>
      </c>
      <c r="E28" s="177"/>
      <c r="F28" s="39"/>
      <c r="G28" s="25"/>
      <c r="H28" s="25"/>
      <c r="I28" s="25"/>
      <c r="J28" s="25"/>
      <c r="K28" s="25"/>
      <c r="L28" s="172"/>
      <c r="M28" s="152"/>
    </row>
    <row r="29" spans="1:13" ht="16.2" thickBot="1">
      <c r="A29" s="81">
        <v>15</v>
      </c>
      <c r="B29" s="382"/>
      <c r="C29" s="383"/>
      <c r="D29" s="178" t="str">
        <f>IF($B29="","",VLOOKUP($B29,#REF!,2,FALSE))</f>
        <v/>
      </c>
      <c r="E29" s="178"/>
      <c r="F29" s="40"/>
      <c r="G29" s="27"/>
      <c r="H29" s="27"/>
      <c r="I29" s="27"/>
      <c r="J29" s="27"/>
      <c r="K29" s="27"/>
      <c r="L29" s="173"/>
      <c r="M29" s="154"/>
    </row>
  </sheetData>
  <mergeCells count="21">
    <mergeCell ref="A1:M1"/>
    <mergeCell ref="A2:M3"/>
    <mergeCell ref="A12:C12"/>
    <mergeCell ref="F13:L13"/>
    <mergeCell ref="B14:C14"/>
    <mergeCell ref="B28:C28"/>
    <mergeCell ref="B29:C29"/>
    <mergeCell ref="B5:D5"/>
    <mergeCell ref="B22:C22"/>
    <mergeCell ref="B23:C23"/>
    <mergeCell ref="B24:C24"/>
    <mergeCell ref="B25:C25"/>
    <mergeCell ref="B26:C26"/>
    <mergeCell ref="B27:C27"/>
    <mergeCell ref="B16:C16"/>
    <mergeCell ref="B17:C17"/>
    <mergeCell ref="B18:C18"/>
    <mergeCell ref="B19:C19"/>
    <mergeCell ref="B20:C20"/>
    <mergeCell ref="B21:C21"/>
    <mergeCell ref="B15:C15"/>
  </mergeCells>
  <phoneticPr fontId="6" type="noConversion"/>
  <dataValidations count="3">
    <dataValidation type="list" allowBlank="1" showInputMessage="1" showErrorMessage="1" sqref="M5">
      <formula1>Semanas</formula1>
    </dataValidation>
    <dataValidation type="list" allowBlank="1" showInputMessage="1" showErrorMessage="1" sqref="B5:E5">
      <formula1>Supervisores</formula1>
    </dataValidation>
    <dataValidation type="list" allowBlank="1" showInputMessage="1" showErrorMessage="1" sqref="B15:C29">
      <formula1>Contratistas</formula1>
    </dataValidation>
  </dataValidations>
  <printOptions horizontalCentered="1" verticalCentered="1"/>
  <pageMargins left="0.67" right="0.67" top="0.76388888888888884" bottom="0.6100000000000001" header="0.5" footer="0.5"/>
  <pageSetup paperSize="5" scale="93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P28"/>
  <sheetViews>
    <sheetView view="pageLayout" workbookViewId="0">
      <selection activeCell="A2" sqref="A2:P3"/>
    </sheetView>
  </sheetViews>
  <sheetFormatPr defaultColWidth="11.19921875" defaultRowHeight="15.6"/>
  <cols>
    <col min="1" max="1" width="10" style="180" customWidth="1"/>
    <col min="2" max="2" width="10.796875" style="180"/>
    <col min="3" max="3" width="12.19921875" style="180" customWidth="1"/>
    <col min="4" max="6" width="10.796875" style="180"/>
    <col min="7" max="7" width="11.19921875" style="180" customWidth="1"/>
    <col min="8" max="10" width="10.796875" style="180"/>
    <col min="11" max="11" width="11.296875" customWidth="1"/>
  </cols>
  <sheetData>
    <row r="1" spans="1:16">
      <c r="A1" s="298" t="s">
        <v>106</v>
      </c>
      <c r="B1" s="298"/>
      <c r="C1" s="298"/>
      <c r="D1" s="298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</row>
    <row r="2" spans="1:16" ht="15" customHeight="1">
      <c r="A2" s="299" t="s">
        <v>107</v>
      </c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</row>
    <row r="3" spans="1:16" ht="15" customHeight="1">
      <c r="A3" s="299"/>
      <c r="B3" s="299"/>
      <c r="C3" s="299"/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299"/>
      <c r="O3" s="299"/>
      <c r="P3" s="299"/>
    </row>
    <row r="4" spans="1:16" ht="21">
      <c r="A4" s="1"/>
      <c r="B4" s="1"/>
      <c r="C4" s="1"/>
      <c r="D4" s="1"/>
      <c r="E4" s="1"/>
      <c r="F4" s="1"/>
      <c r="G4" s="1"/>
      <c r="H4" s="1"/>
      <c r="I4" s="1"/>
      <c r="J4" s="1"/>
      <c r="L4" s="2"/>
    </row>
    <row r="5" spans="1:16">
      <c r="A5" s="3" t="s">
        <v>1</v>
      </c>
      <c r="B5" s="311"/>
      <c r="C5" s="311"/>
      <c r="D5" s="311"/>
      <c r="E5" s="4"/>
      <c r="F5"/>
      <c r="H5" s="183" t="s">
        <v>24</v>
      </c>
      <c r="I5" s="88" t="str">
        <f>IF($N$5="","",VLOOKUP($N$5,#REF!,2,FALSE))</f>
        <v/>
      </c>
      <c r="J5" s="87"/>
      <c r="M5" s="183" t="s">
        <v>3</v>
      </c>
      <c r="N5" s="21"/>
    </row>
    <row r="6" spans="1:16">
      <c r="A6" s="3"/>
      <c r="B6"/>
      <c r="C6"/>
      <c r="D6"/>
      <c r="E6"/>
      <c r="F6"/>
      <c r="G6"/>
      <c r="J6"/>
    </row>
    <row r="7" spans="1:16">
      <c r="A7" s="53" t="s">
        <v>6</v>
      </c>
      <c r="B7" s="54"/>
      <c r="C7" s="55"/>
      <c r="D7" s="55"/>
      <c r="E7" s="55"/>
      <c r="F7" s="55"/>
      <c r="G7" s="55"/>
      <c r="H7" s="55"/>
      <c r="I7" s="55"/>
      <c r="J7" s="55"/>
      <c r="K7" s="55"/>
      <c r="L7" s="55"/>
      <c r="M7" s="10"/>
      <c r="N7" s="10"/>
      <c r="O7" s="10"/>
      <c r="P7" s="11"/>
    </row>
    <row r="8" spans="1:16">
      <c r="A8" s="57"/>
      <c r="B8" s="89"/>
      <c r="C8" s="69"/>
      <c r="D8" s="69"/>
      <c r="E8" s="69"/>
      <c r="F8" s="69"/>
      <c r="G8" s="69"/>
      <c r="H8" s="69"/>
      <c r="I8" s="69"/>
      <c r="J8" s="69"/>
      <c r="K8" s="69"/>
      <c r="L8" s="69"/>
      <c r="M8" s="2"/>
      <c r="N8" s="2"/>
      <c r="O8" s="2"/>
      <c r="P8" s="13"/>
    </row>
    <row r="9" spans="1:16">
      <c r="A9" s="50" t="s">
        <v>7</v>
      </c>
      <c r="B9" s="182"/>
      <c r="C9" s="114"/>
      <c r="D9" s="2"/>
      <c r="E9" s="2"/>
      <c r="F9" s="69"/>
      <c r="G9" s="69"/>
      <c r="H9" s="69"/>
      <c r="I9" s="69"/>
      <c r="J9" s="69"/>
      <c r="K9" s="69"/>
      <c r="L9" s="69"/>
      <c r="M9" s="2"/>
      <c r="N9" s="2"/>
      <c r="O9" s="2"/>
      <c r="P9" s="13"/>
    </row>
    <row r="10" spans="1:16">
      <c r="A10" s="51" t="s">
        <v>31</v>
      </c>
      <c r="B10" s="296" t="str">
        <f>IF($B$9="","",VLOOKUP($B$9,#REF!,11,FALSE))</f>
        <v/>
      </c>
      <c r="C10" s="296"/>
      <c r="D10" s="181" t="s">
        <v>8</v>
      </c>
      <c r="E10" s="181" t="str">
        <f>IF($B$9="","",VLOOKUP($B$9,#REF!,10,FALSE))</f>
        <v/>
      </c>
      <c r="F10" s="122" t="s">
        <v>74</v>
      </c>
      <c r="G10" s="61" t="s">
        <v>9</v>
      </c>
      <c r="H10" s="62"/>
      <c r="I10" s="63"/>
      <c r="J10" s="64" t="s">
        <v>10</v>
      </c>
      <c r="K10" s="64"/>
      <c r="L10" s="63"/>
      <c r="M10" s="4"/>
      <c r="N10" s="21" t="s">
        <v>78</v>
      </c>
      <c r="O10" s="4"/>
      <c r="P10" s="17"/>
    </row>
    <row r="11" spans="1:16" ht="16.2" thickBot="1">
      <c r="A11" s="22"/>
      <c r="B11" s="15"/>
      <c r="C11" s="23"/>
      <c r="D11" s="23"/>
      <c r="E11" s="15"/>
      <c r="F11" s="15"/>
      <c r="G11" s="23"/>
      <c r="H11" s="15"/>
      <c r="I11" s="2"/>
      <c r="J11" s="2"/>
      <c r="K11" s="2"/>
    </row>
    <row r="12" spans="1:16">
      <c r="A12" s="302" t="s">
        <v>12</v>
      </c>
      <c r="B12" s="304" t="s">
        <v>34</v>
      </c>
      <c r="C12" s="305"/>
      <c r="D12" s="304" t="s">
        <v>15</v>
      </c>
      <c r="E12" s="305"/>
      <c r="F12" s="304" t="s">
        <v>16</v>
      </c>
      <c r="G12" s="305"/>
      <c r="H12" s="304" t="s">
        <v>17</v>
      </c>
      <c r="I12" s="305"/>
      <c r="J12" s="304" t="s">
        <v>18</v>
      </c>
      <c r="K12" s="305"/>
      <c r="L12" s="304" t="s">
        <v>19</v>
      </c>
      <c r="M12" s="305"/>
      <c r="N12" s="304" t="s">
        <v>20</v>
      </c>
      <c r="O12" s="305"/>
      <c r="P12" s="302" t="s">
        <v>22</v>
      </c>
    </row>
    <row r="13" spans="1:16" ht="16.2" thickBot="1">
      <c r="A13" s="303"/>
      <c r="B13" s="306"/>
      <c r="C13" s="307"/>
      <c r="D13" s="188" t="s">
        <v>35</v>
      </c>
      <c r="E13" s="189" t="s">
        <v>36</v>
      </c>
      <c r="F13" s="188" t="s">
        <v>35</v>
      </c>
      <c r="G13" s="189" t="s">
        <v>36</v>
      </c>
      <c r="H13" s="188" t="s">
        <v>35</v>
      </c>
      <c r="I13" s="189" t="s">
        <v>36</v>
      </c>
      <c r="J13" s="188" t="s">
        <v>35</v>
      </c>
      <c r="K13" s="189" t="s">
        <v>36</v>
      </c>
      <c r="L13" s="188" t="s">
        <v>35</v>
      </c>
      <c r="M13" s="189" t="s">
        <v>36</v>
      </c>
      <c r="N13" s="188" t="s">
        <v>35</v>
      </c>
      <c r="O13" s="189" t="s">
        <v>36</v>
      </c>
      <c r="P13" s="303"/>
    </row>
    <row r="14" spans="1:16" ht="28.05" customHeight="1">
      <c r="A14" s="70">
        <v>1</v>
      </c>
      <c r="B14" s="314"/>
      <c r="C14" s="315"/>
      <c r="D14" s="187"/>
      <c r="E14" s="72"/>
      <c r="F14" s="187"/>
      <c r="G14" s="72"/>
      <c r="H14" s="187"/>
      <c r="I14" s="72"/>
      <c r="J14" s="187"/>
      <c r="K14" s="72"/>
      <c r="L14" s="187"/>
      <c r="M14" s="73"/>
      <c r="N14" s="187"/>
      <c r="O14" s="73"/>
      <c r="P14" s="74"/>
    </row>
    <row r="15" spans="1:16" ht="28.05" customHeight="1">
      <c r="A15" s="75">
        <v>2</v>
      </c>
      <c r="B15" s="312"/>
      <c r="C15" s="313"/>
      <c r="D15" s="185"/>
      <c r="E15" s="78"/>
      <c r="F15" s="185"/>
      <c r="G15" s="78"/>
      <c r="H15" s="185"/>
      <c r="I15" s="78"/>
      <c r="J15" s="185"/>
      <c r="K15" s="78"/>
      <c r="L15" s="185"/>
      <c r="M15" s="79"/>
      <c r="N15" s="185"/>
      <c r="O15" s="79"/>
      <c r="P15" s="80"/>
    </row>
    <row r="16" spans="1:16" ht="28.05" customHeight="1">
      <c r="A16" s="75">
        <v>3</v>
      </c>
      <c r="B16" s="312"/>
      <c r="C16" s="313"/>
      <c r="D16" s="185"/>
      <c r="E16" s="78"/>
      <c r="F16" s="185"/>
      <c r="G16" s="78"/>
      <c r="H16" s="185"/>
      <c r="I16" s="78"/>
      <c r="J16" s="185"/>
      <c r="K16" s="78"/>
      <c r="L16" s="185"/>
      <c r="M16" s="79"/>
      <c r="N16" s="185"/>
      <c r="O16" s="79"/>
      <c r="P16" s="80"/>
    </row>
    <row r="17" spans="1:16" ht="28.05" customHeight="1">
      <c r="A17" s="75">
        <v>4</v>
      </c>
      <c r="B17" s="312"/>
      <c r="C17" s="313"/>
      <c r="D17" s="185"/>
      <c r="E17" s="78"/>
      <c r="F17" s="185"/>
      <c r="G17" s="78"/>
      <c r="H17" s="185"/>
      <c r="I17" s="78"/>
      <c r="J17" s="185"/>
      <c r="K17" s="78"/>
      <c r="L17" s="185"/>
      <c r="M17" s="79"/>
      <c r="N17" s="185"/>
      <c r="O17" s="79"/>
      <c r="P17" s="80"/>
    </row>
    <row r="18" spans="1:16" ht="28.05" customHeight="1">
      <c r="A18" s="75">
        <v>5</v>
      </c>
      <c r="B18" s="312"/>
      <c r="C18" s="313"/>
      <c r="D18" s="185"/>
      <c r="E18" s="78"/>
      <c r="F18" s="185"/>
      <c r="G18" s="78"/>
      <c r="H18" s="185"/>
      <c r="I18" s="78"/>
      <c r="J18" s="185"/>
      <c r="K18" s="78"/>
      <c r="L18" s="185"/>
      <c r="M18" s="79"/>
      <c r="N18" s="185"/>
      <c r="O18" s="79"/>
      <c r="P18" s="80"/>
    </row>
    <row r="19" spans="1:16" ht="28.05" customHeight="1">
      <c r="A19" s="75">
        <v>6</v>
      </c>
      <c r="B19" s="312"/>
      <c r="C19" s="313"/>
      <c r="D19" s="185"/>
      <c r="E19" s="78"/>
      <c r="F19" s="185"/>
      <c r="G19" s="78"/>
      <c r="H19" s="185"/>
      <c r="I19" s="78"/>
      <c r="J19" s="185"/>
      <c r="K19" s="78"/>
      <c r="L19" s="185"/>
      <c r="M19" s="79"/>
      <c r="N19" s="185"/>
      <c r="O19" s="79"/>
      <c r="P19" s="80"/>
    </row>
    <row r="20" spans="1:16" ht="28.05" customHeight="1">
      <c r="A20" s="75">
        <v>7</v>
      </c>
      <c r="B20" s="312"/>
      <c r="C20" s="313"/>
      <c r="D20" s="185"/>
      <c r="E20" s="78"/>
      <c r="F20" s="185"/>
      <c r="G20" s="78"/>
      <c r="H20" s="185"/>
      <c r="I20" s="78"/>
      <c r="J20" s="185"/>
      <c r="K20" s="78"/>
      <c r="L20" s="185"/>
      <c r="M20" s="79"/>
      <c r="N20" s="185"/>
      <c r="O20" s="79"/>
      <c r="P20" s="80"/>
    </row>
    <row r="21" spans="1:16" ht="28.05" customHeight="1">
      <c r="A21" s="75">
        <v>8</v>
      </c>
      <c r="B21" s="312"/>
      <c r="C21" s="313"/>
      <c r="D21" s="185"/>
      <c r="E21" s="78"/>
      <c r="F21" s="185"/>
      <c r="G21" s="78"/>
      <c r="H21" s="185"/>
      <c r="I21" s="78"/>
      <c r="J21" s="185"/>
      <c r="K21" s="78"/>
      <c r="L21" s="185"/>
      <c r="M21" s="79"/>
      <c r="N21" s="185"/>
      <c r="O21" s="79"/>
      <c r="P21" s="80"/>
    </row>
    <row r="22" spans="1:16" ht="28.05" customHeight="1">
      <c r="A22" s="75">
        <v>9</v>
      </c>
      <c r="B22" s="312"/>
      <c r="C22" s="313"/>
      <c r="D22" s="185"/>
      <c r="E22" s="78"/>
      <c r="F22" s="185"/>
      <c r="G22" s="78"/>
      <c r="H22" s="185"/>
      <c r="I22" s="78"/>
      <c r="J22" s="185"/>
      <c r="K22" s="78"/>
      <c r="L22" s="185"/>
      <c r="M22" s="79"/>
      <c r="N22" s="185"/>
      <c r="O22" s="79"/>
      <c r="P22" s="80"/>
    </row>
    <row r="23" spans="1:16" ht="28.05" customHeight="1">
      <c r="A23" s="75">
        <v>10</v>
      </c>
      <c r="B23" s="312"/>
      <c r="C23" s="313"/>
      <c r="D23" s="185"/>
      <c r="E23" s="78"/>
      <c r="F23" s="185"/>
      <c r="G23" s="78"/>
      <c r="H23" s="185"/>
      <c r="I23" s="78"/>
      <c r="J23" s="185"/>
      <c r="K23" s="78"/>
      <c r="L23" s="185"/>
      <c r="M23" s="79"/>
      <c r="N23" s="185"/>
      <c r="O23" s="79"/>
      <c r="P23" s="80"/>
    </row>
    <row r="24" spans="1:16" ht="28.05" customHeight="1">
      <c r="A24" s="75">
        <v>11</v>
      </c>
      <c r="B24" s="312"/>
      <c r="C24" s="313"/>
      <c r="D24" s="185"/>
      <c r="E24" s="78"/>
      <c r="F24" s="185"/>
      <c r="G24" s="78"/>
      <c r="H24" s="185"/>
      <c r="I24" s="78"/>
      <c r="J24" s="185"/>
      <c r="K24" s="78"/>
      <c r="L24" s="185"/>
      <c r="M24" s="79"/>
      <c r="N24" s="185"/>
      <c r="O24" s="79"/>
      <c r="P24" s="80"/>
    </row>
    <row r="25" spans="1:16" ht="28.05" customHeight="1">
      <c r="A25" s="75">
        <v>12</v>
      </c>
      <c r="B25" s="312"/>
      <c r="C25" s="313"/>
      <c r="D25" s="185"/>
      <c r="E25" s="78"/>
      <c r="F25" s="185"/>
      <c r="G25" s="78"/>
      <c r="H25" s="185"/>
      <c r="I25" s="78"/>
      <c r="J25" s="185"/>
      <c r="K25" s="78"/>
      <c r="L25" s="185"/>
      <c r="M25" s="79"/>
      <c r="N25" s="185"/>
      <c r="O25" s="79"/>
      <c r="P25" s="80"/>
    </row>
    <row r="26" spans="1:16" ht="28.05" customHeight="1" thickBot="1">
      <c r="A26" s="81">
        <v>13</v>
      </c>
      <c r="B26" s="308"/>
      <c r="C26" s="309"/>
      <c r="D26" s="184"/>
      <c r="E26" s="83"/>
      <c r="F26" s="184"/>
      <c r="G26" s="83"/>
      <c r="H26" s="184"/>
      <c r="I26" s="83"/>
      <c r="J26" s="184"/>
      <c r="K26" s="83"/>
      <c r="L26" s="184"/>
      <c r="M26" s="84"/>
      <c r="N26" s="184"/>
      <c r="O26" s="84"/>
      <c r="P26" s="85"/>
    </row>
    <row r="27" spans="1:16">
      <c r="B27" s="310"/>
      <c r="C27" s="310"/>
    </row>
    <row r="28" spans="1:16">
      <c r="B28" s="310"/>
      <c r="C28" s="310"/>
    </row>
  </sheetData>
  <mergeCells count="28">
    <mergeCell ref="B27:C27"/>
    <mergeCell ref="B28:C28"/>
    <mergeCell ref="B22:C22"/>
    <mergeCell ref="B23:C23"/>
    <mergeCell ref="B24:C24"/>
    <mergeCell ref="B25:C25"/>
    <mergeCell ref="B26:C26"/>
    <mergeCell ref="A1:P1"/>
    <mergeCell ref="A2:P3"/>
    <mergeCell ref="B10:C10"/>
    <mergeCell ref="B16:C16"/>
    <mergeCell ref="B17:C17"/>
    <mergeCell ref="L12:M12"/>
    <mergeCell ref="N12:O12"/>
    <mergeCell ref="P12:P13"/>
    <mergeCell ref="B5:D5"/>
    <mergeCell ref="A12:A13"/>
    <mergeCell ref="B18:C18"/>
    <mergeCell ref="B19:C19"/>
    <mergeCell ref="B20:C20"/>
    <mergeCell ref="B21:C21"/>
    <mergeCell ref="J12:K12"/>
    <mergeCell ref="B14:C14"/>
    <mergeCell ref="B15:C15"/>
    <mergeCell ref="B12:C13"/>
    <mergeCell ref="D12:E12"/>
    <mergeCell ref="F12:G12"/>
    <mergeCell ref="H12:I12"/>
  </mergeCells>
  <phoneticPr fontId="6" type="noConversion"/>
  <dataValidations count="3">
    <dataValidation type="list" allowBlank="1" showInputMessage="1" showErrorMessage="1" sqref="B5:D5">
      <formula1>Supervisores</formula1>
    </dataValidation>
    <dataValidation type="list" allowBlank="1" showInputMessage="1" showErrorMessage="1" sqref="N5">
      <formula1>Semanas</formula1>
    </dataValidation>
    <dataValidation type="list" allowBlank="1" showInputMessage="1" showErrorMessage="1" sqref="B9">
      <formula1>Lotes</formula1>
    </dataValidation>
  </dataValidations>
  <printOptions horizontalCentered="1" verticalCentered="1"/>
  <pageMargins left="0.75000000000000011" right="0.75000000000000011" top="1" bottom="1" header="0.5" footer="0.5"/>
  <pageSetup paperSize="5" scale="77" orientation="landscape" horizontalDpi="4294967292" verticalDpi="4294967292" r:id="rId1"/>
  <headerFooter>
    <oddHeader>&amp;L&amp;"Cambria,Regular"&amp;18&amp;K000000TH Reforestación_x000D_&amp;11Nit: 900.525.504-9_x000D_</oddHeader>
    <oddFooter>&amp;R&amp;"Calibri,Regular"&amp;K000000_x000D__x000D__x000D_&amp;G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J76"/>
  <sheetViews>
    <sheetView view="pageLayout" workbookViewId="0">
      <selection activeCell="A2" sqref="A2:I3"/>
    </sheetView>
  </sheetViews>
  <sheetFormatPr defaultColWidth="11.19921875" defaultRowHeight="15.6"/>
  <cols>
    <col min="1" max="1" width="10.796875" customWidth="1"/>
    <col min="5" max="5" width="10.796875" style="2"/>
    <col min="6" max="6" width="11.69921875" customWidth="1"/>
    <col min="8" max="8" width="12.19921875" customWidth="1"/>
  </cols>
  <sheetData>
    <row r="1" spans="1:10">
      <c r="A1" s="392" t="s">
        <v>137</v>
      </c>
      <c r="B1" s="392"/>
      <c r="C1" s="392"/>
      <c r="D1" s="392"/>
      <c r="E1" s="392"/>
      <c r="F1" s="392"/>
      <c r="G1" s="392"/>
      <c r="H1" s="392"/>
      <c r="I1" s="392"/>
      <c r="J1" s="204"/>
    </row>
    <row r="2" spans="1:10" ht="15" customHeight="1">
      <c r="A2" s="391" t="s">
        <v>121</v>
      </c>
      <c r="B2" s="391"/>
      <c r="C2" s="391"/>
      <c r="D2" s="391"/>
      <c r="E2" s="391"/>
      <c r="F2" s="391"/>
      <c r="G2" s="391"/>
      <c r="H2" s="391"/>
      <c r="I2" s="391"/>
      <c r="J2" s="203"/>
    </row>
    <row r="3" spans="1:10" ht="15" customHeight="1">
      <c r="A3" s="391"/>
      <c r="B3" s="391"/>
      <c r="C3" s="391"/>
      <c r="D3" s="391"/>
      <c r="E3" s="391"/>
      <c r="F3" s="391"/>
      <c r="G3" s="391"/>
      <c r="H3" s="391"/>
      <c r="I3" s="391"/>
      <c r="J3" s="203"/>
    </row>
    <row r="4" spans="1:10">
      <c r="E4"/>
      <c r="G4" s="298" t="s">
        <v>108</v>
      </c>
      <c r="H4" s="298"/>
      <c r="I4" s="4"/>
    </row>
    <row r="5" spans="1:10" ht="19.95" customHeight="1">
      <c r="A5" s="197" t="s">
        <v>109</v>
      </c>
      <c r="B5" s="10"/>
      <c r="C5" s="10"/>
      <c r="D5" s="10"/>
      <c r="E5" s="10"/>
      <c r="F5" s="10"/>
      <c r="G5" s="10"/>
      <c r="H5" s="10"/>
      <c r="I5" s="11"/>
    </row>
    <row r="6" spans="1:10" ht="18" customHeight="1">
      <c r="A6" s="12" t="s">
        <v>24</v>
      </c>
      <c r="B6" s="4"/>
      <c r="C6" s="4"/>
      <c r="D6" s="2"/>
      <c r="E6" s="393" t="s">
        <v>111</v>
      </c>
      <c r="F6" s="393"/>
      <c r="G6" s="4"/>
      <c r="H6" s="4"/>
      <c r="I6" s="13"/>
    </row>
    <row r="7" spans="1:10" ht="18" customHeight="1">
      <c r="A7" s="12" t="s">
        <v>110</v>
      </c>
      <c r="B7" s="179"/>
      <c r="C7" s="179"/>
      <c r="D7" s="2"/>
      <c r="E7" s="393" t="s">
        <v>112</v>
      </c>
      <c r="F7" s="393"/>
      <c r="G7" s="179"/>
      <c r="H7" s="179"/>
      <c r="I7" s="13"/>
    </row>
    <row r="8" spans="1:10" ht="7.95" customHeight="1">
      <c r="A8" s="199"/>
      <c r="B8" s="4"/>
      <c r="C8" s="4"/>
      <c r="D8" s="4"/>
      <c r="E8" s="4"/>
      <c r="F8" s="4"/>
      <c r="G8" s="201"/>
      <c r="H8" s="4"/>
      <c r="I8" s="17"/>
    </row>
    <row r="9" spans="1:10" ht="19.95" customHeight="1">
      <c r="A9" s="197" t="s">
        <v>113</v>
      </c>
      <c r="B9" s="10"/>
      <c r="C9" s="10"/>
      <c r="D9" s="9" t="s">
        <v>117</v>
      </c>
      <c r="E9" s="10"/>
      <c r="F9" s="10"/>
      <c r="G9" s="3" t="s">
        <v>130</v>
      </c>
      <c r="I9" s="11"/>
    </row>
    <row r="10" spans="1:10" ht="18" customHeight="1">
      <c r="A10" s="12" t="s">
        <v>114</v>
      </c>
      <c r="B10" s="198" t="s">
        <v>5</v>
      </c>
      <c r="C10" s="2"/>
      <c r="D10" s="121" t="s">
        <v>118</v>
      </c>
      <c r="E10" s="198" t="s">
        <v>5</v>
      </c>
      <c r="F10" s="2"/>
      <c r="G10" s="222" t="s">
        <v>131</v>
      </c>
      <c r="H10" s="4"/>
      <c r="I10" s="13"/>
    </row>
    <row r="11" spans="1:10" ht="18" customHeight="1">
      <c r="A11" s="12" t="s">
        <v>115</v>
      </c>
      <c r="B11" s="198" t="s">
        <v>5</v>
      </c>
      <c r="C11" s="2"/>
      <c r="D11" s="2" t="s">
        <v>119</v>
      </c>
      <c r="E11" s="198" t="s">
        <v>5</v>
      </c>
      <c r="F11" s="2"/>
      <c r="G11" s="222" t="s">
        <v>132</v>
      </c>
      <c r="H11" s="179"/>
      <c r="I11" s="17"/>
    </row>
    <row r="12" spans="1:10" ht="18" customHeight="1">
      <c r="A12" s="12" t="s">
        <v>116</v>
      </c>
      <c r="B12" s="4"/>
      <c r="C12" s="4"/>
      <c r="D12" s="2" t="s">
        <v>120</v>
      </c>
      <c r="E12" s="4"/>
      <c r="F12" s="4"/>
      <c r="G12" s="222" t="s">
        <v>133</v>
      </c>
      <c r="H12" s="179"/>
      <c r="I12" s="200"/>
    </row>
    <row r="13" spans="1:10" ht="7.95" customHeight="1">
      <c r="A13" s="199"/>
      <c r="B13" s="4"/>
      <c r="C13" s="4"/>
      <c r="D13" s="4"/>
      <c r="E13" s="4"/>
      <c r="F13" s="4"/>
      <c r="G13" s="4"/>
      <c r="H13" s="4"/>
      <c r="I13" s="17"/>
    </row>
    <row r="14" spans="1:10" ht="19.95" customHeight="1">
      <c r="A14" s="202" t="s">
        <v>122</v>
      </c>
      <c r="B14" s="10"/>
      <c r="C14" s="10"/>
      <c r="D14" s="10"/>
      <c r="E14" s="10"/>
      <c r="F14" s="10"/>
      <c r="G14" s="10"/>
      <c r="H14" s="10"/>
      <c r="I14" s="11"/>
    </row>
    <row r="15" spans="1:10" ht="13.05" customHeight="1">
      <c r="A15" s="12"/>
      <c r="B15" s="2"/>
      <c r="C15" s="2"/>
      <c r="D15" s="2"/>
      <c r="F15" s="2"/>
      <c r="G15" s="2"/>
      <c r="H15" s="2"/>
      <c r="I15" s="13"/>
    </row>
    <row r="16" spans="1:10">
      <c r="A16" s="49" t="s">
        <v>123</v>
      </c>
      <c r="B16" s="14" t="s">
        <v>5</v>
      </c>
      <c r="C16" s="114" t="s">
        <v>124</v>
      </c>
      <c r="D16" s="14" t="s">
        <v>5</v>
      </c>
      <c r="E16" s="45" t="s">
        <v>125</v>
      </c>
      <c r="G16" s="14" t="s">
        <v>5</v>
      </c>
      <c r="I16" s="13"/>
    </row>
    <row r="17" spans="1:9" ht="7.95" customHeight="1">
      <c r="A17" s="199"/>
      <c r="B17" s="4"/>
      <c r="C17" s="4"/>
      <c r="D17" s="4"/>
      <c r="E17" s="4"/>
      <c r="F17" s="4"/>
      <c r="G17" s="4"/>
      <c r="H17" s="4"/>
      <c r="I17" s="17"/>
    </row>
    <row r="18" spans="1:9" ht="19.95" customHeight="1">
      <c r="A18" s="3" t="s">
        <v>126</v>
      </c>
      <c r="E18"/>
    </row>
    <row r="19" spans="1:9" ht="10.95" customHeight="1" thickBot="1">
      <c r="E19"/>
    </row>
    <row r="20" spans="1:9" ht="16.2" thickBot="1">
      <c r="A20" s="209" t="s">
        <v>12</v>
      </c>
      <c r="B20" s="210" t="s">
        <v>127</v>
      </c>
      <c r="C20" s="210" t="s">
        <v>128</v>
      </c>
      <c r="D20" s="211" t="s">
        <v>129</v>
      </c>
      <c r="E20" s="15"/>
      <c r="F20" s="209" t="s">
        <v>12</v>
      </c>
      <c r="G20" s="210" t="s">
        <v>127</v>
      </c>
      <c r="H20" s="210" t="s">
        <v>128</v>
      </c>
      <c r="I20" s="211" t="s">
        <v>129</v>
      </c>
    </row>
    <row r="21" spans="1:9">
      <c r="A21" s="212">
        <v>1</v>
      </c>
      <c r="B21" s="213"/>
      <c r="C21" s="213"/>
      <c r="D21" s="214"/>
      <c r="E21" s="15"/>
      <c r="F21" s="212">
        <v>51</v>
      </c>
      <c r="G21" s="213"/>
      <c r="H21" s="213"/>
      <c r="I21" s="214"/>
    </row>
    <row r="22" spans="1:9">
      <c r="A22" s="215">
        <v>2</v>
      </c>
      <c r="B22" s="205"/>
      <c r="C22" s="205"/>
      <c r="D22" s="216"/>
      <c r="E22" s="15"/>
      <c r="F22" s="215">
        <v>52</v>
      </c>
      <c r="G22" s="205"/>
      <c r="H22" s="205"/>
      <c r="I22" s="216"/>
    </row>
    <row r="23" spans="1:9">
      <c r="A23" s="215">
        <v>3</v>
      </c>
      <c r="B23" s="205"/>
      <c r="C23" s="205"/>
      <c r="D23" s="216"/>
      <c r="E23" s="15"/>
      <c r="F23" s="215">
        <v>53</v>
      </c>
      <c r="G23" s="205"/>
      <c r="H23" s="205"/>
      <c r="I23" s="216"/>
    </row>
    <row r="24" spans="1:9">
      <c r="A24" s="215">
        <v>4</v>
      </c>
      <c r="B24" s="205"/>
      <c r="C24" s="205"/>
      <c r="D24" s="216"/>
      <c r="E24" s="15"/>
      <c r="F24" s="215">
        <v>54</v>
      </c>
      <c r="G24" s="205"/>
      <c r="H24" s="205"/>
      <c r="I24" s="216"/>
    </row>
    <row r="25" spans="1:9">
      <c r="A25" s="215">
        <v>5</v>
      </c>
      <c r="B25" s="205"/>
      <c r="C25" s="205"/>
      <c r="D25" s="216"/>
      <c r="E25" s="15"/>
      <c r="F25" s="215">
        <v>55</v>
      </c>
      <c r="G25" s="205"/>
      <c r="H25" s="205"/>
      <c r="I25" s="216"/>
    </row>
    <row r="26" spans="1:9">
      <c r="A26" s="215">
        <v>6</v>
      </c>
      <c r="B26" s="205"/>
      <c r="C26" s="205"/>
      <c r="D26" s="216"/>
      <c r="E26" s="15"/>
      <c r="F26" s="215">
        <v>56</v>
      </c>
      <c r="G26" s="205"/>
      <c r="H26" s="205"/>
      <c r="I26" s="216"/>
    </row>
    <row r="27" spans="1:9">
      <c r="A27" s="215">
        <v>7</v>
      </c>
      <c r="B27" s="205"/>
      <c r="C27" s="205"/>
      <c r="D27" s="216"/>
      <c r="E27" s="15"/>
      <c r="F27" s="215">
        <v>57</v>
      </c>
      <c r="G27" s="205"/>
      <c r="H27" s="205"/>
      <c r="I27" s="216"/>
    </row>
    <row r="28" spans="1:9">
      <c r="A28" s="215">
        <v>8</v>
      </c>
      <c r="B28" s="205"/>
      <c r="C28" s="205"/>
      <c r="D28" s="216"/>
      <c r="E28" s="15"/>
      <c r="F28" s="215">
        <v>58</v>
      </c>
      <c r="G28" s="205"/>
      <c r="H28" s="205"/>
      <c r="I28" s="216"/>
    </row>
    <row r="29" spans="1:9">
      <c r="A29" s="215">
        <v>9</v>
      </c>
      <c r="B29" s="205"/>
      <c r="C29" s="205"/>
      <c r="D29" s="216"/>
      <c r="E29" s="15"/>
      <c r="F29" s="215">
        <v>59</v>
      </c>
      <c r="G29" s="205"/>
      <c r="H29" s="205"/>
      <c r="I29" s="216"/>
    </row>
    <row r="30" spans="1:9">
      <c r="A30" s="215">
        <v>10</v>
      </c>
      <c r="B30" s="205"/>
      <c r="C30" s="205"/>
      <c r="D30" s="216"/>
      <c r="E30" s="15"/>
      <c r="F30" s="215">
        <v>60</v>
      </c>
      <c r="G30" s="205"/>
      <c r="H30" s="205"/>
      <c r="I30" s="216"/>
    </row>
    <row r="31" spans="1:9">
      <c r="A31" s="215">
        <v>11</v>
      </c>
      <c r="B31" s="205"/>
      <c r="C31" s="205"/>
      <c r="D31" s="216"/>
      <c r="E31" s="15"/>
      <c r="F31" s="215">
        <v>61</v>
      </c>
      <c r="G31" s="205"/>
      <c r="H31" s="205"/>
      <c r="I31" s="216"/>
    </row>
    <row r="32" spans="1:9">
      <c r="A32" s="215">
        <v>12</v>
      </c>
      <c r="B32" s="205"/>
      <c r="C32" s="205"/>
      <c r="D32" s="216"/>
      <c r="E32" s="15"/>
      <c r="F32" s="215">
        <v>62</v>
      </c>
      <c r="G32" s="205"/>
      <c r="H32" s="205"/>
      <c r="I32" s="216"/>
    </row>
    <row r="33" spans="1:9">
      <c r="A33" s="215">
        <v>13</v>
      </c>
      <c r="B33" s="205"/>
      <c r="C33" s="205"/>
      <c r="D33" s="216"/>
      <c r="E33" s="15"/>
      <c r="F33" s="215">
        <v>63</v>
      </c>
      <c r="G33" s="205"/>
      <c r="H33" s="205"/>
      <c r="I33" s="216"/>
    </row>
    <row r="34" spans="1:9">
      <c r="A34" s="215">
        <v>14</v>
      </c>
      <c r="B34" s="205"/>
      <c r="C34" s="205"/>
      <c r="D34" s="216"/>
      <c r="E34" s="15"/>
      <c r="F34" s="215">
        <v>64</v>
      </c>
      <c r="G34" s="205"/>
      <c r="H34" s="205"/>
      <c r="I34" s="216"/>
    </row>
    <row r="35" spans="1:9">
      <c r="A35" s="215">
        <v>15</v>
      </c>
      <c r="B35" s="205"/>
      <c r="C35" s="205"/>
      <c r="D35" s="216"/>
      <c r="E35" s="15"/>
      <c r="F35" s="215">
        <v>65</v>
      </c>
      <c r="G35" s="205"/>
      <c r="H35" s="205"/>
      <c r="I35" s="216"/>
    </row>
    <row r="36" spans="1:9">
      <c r="A36" s="215">
        <v>16</v>
      </c>
      <c r="B36" s="205"/>
      <c r="C36" s="205"/>
      <c r="D36" s="216"/>
      <c r="E36" s="15"/>
      <c r="F36" s="215">
        <v>66</v>
      </c>
      <c r="G36" s="205"/>
      <c r="H36" s="205"/>
      <c r="I36" s="216"/>
    </row>
    <row r="37" spans="1:9">
      <c r="A37" s="215">
        <v>17</v>
      </c>
      <c r="B37" s="205"/>
      <c r="C37" s="205"/>
      <c r="D37" s="216"/>
      <c r="E37" s="15"/>
      <c r="F37" s="215">
        <v>67</v>
      </c>
      <c r="G37" s="205"/>
      <c r="H37" s="205"/>
      <c r="I37" s="216"/>
    </row>
    <row r="38" spans="1:9">
      <c r="A38" s="215">
        <v>18</v>
      </c>
      <c r="B38" s="205"/>
      <c r="C38" s="205"/>
      <c r="D38" s="216"/>
      <c r="E38" s="15"/>
      <c r="F38" s="215">
        <v>68</v>
      </c>
      <c r="G38" s="205"/>
      <c r="H38" s="205"/>
      <c r="I38" s="216"/>
    </row>
    <row r="39" spans="1:9">
      <c r="A39" s="215">
        <v>19</v>
      </c>
      <c r="B39" s="205"/>
      <c r="C39" s="205"/>
      <c r="D39" s="216"/>
      <c r="E39" s="15"/>
      <c r="F39" s="215">
        <v>69</v>
      </c>
      <c r="G39" s="205"/>
      <c r="H39" s="205"/>
      <c r="I39" s="216"/>
    </row>
    <row r="40" spans="1:9">
      <c r="A40" s="215">
        <v>20</v>
      </c>
      <c r="B40" s="205"/>
      <c r="C40" s="205"/>
      <c r="D40" s="216"/>
      <c r="E40" s="15"/>
      <c r="F40" s="215">
        <v>70</v>
      </c>
      <c r="G40" s="205"/>
      <c r="H40" s="205"/>
      <c r="I40" s="216"/>
    </row>
    <row r="41" spans="1:9">
      <c r="A41" s="215">
        <v>21</v>
      </c>
      <c r="B41" s="205"/>
      <c r="C41" s="205"/>
      <c r="D41" s="216"/>
      <c r="E41" s="15"/>
      <c r="F41" s="215">
        <v>71</v>
      </c>
      <c r="G41" s="205"/>
      <c r="H41" s="205"/>
      <c r="I41" s="216"/>
    </row>
    <row r="42" spans="1:9">
      <c r="A42" s="215">
        <v>22</v>
      </c>
      <c r="B42" s="205"/>
      <c r="C42" s="205"/>
      <c r="D42" s="216"/>
      <c r="E42" s="15"/>
      <c r="F42" s="215">
        <v>72</v>
      </c>
      <c r="G42" s="205"/>
      <c r="H42" s="205"/>
      <c r="I42" s="216"/>
    </row>
    <row r="43" spans="1:9">
      <c r="A43" s="215">
        <v>23</v>
      </c>
      <c r="B43" s="205"/>
      <c r="C43" s="205"/>
      <c r="D43" s="216"/>
      <c r="E43" s="15"/>
      <c r="F43" s="215">
        <v>73</v>
      </c>
      <c r="G43" s="205"/>
      <c r="H43" s="205"/>
      <c r="I43" s="216"/>
    </row>
    <row r="44" spans="1:9">
      <c r="A44" s="215">
        <v>24</v>
      </c>
      <c r="B44" s="205"/>
      <c r="C44" s="205"/>
      <c r="D44" s="216"/>
      <c r="E44" s="15"/>
      <c r="F44" s="215">
        <v>74</v>
      </c>
      <c r="G44" s="205"/>
      <c r="H44" s="205"/>
      <c r="I44" s="216"/>
    </row>
    <row r="45" spans="1:9">
      <c r="A45" s="215">
        <v>25</v>
      </c>
      <c r="B45" s="205"/>
      <c r="C45" s="205"/>
      <c r="D45" s="216"/>
      <c r="E45" s="15"/>
      <c r="F45" s="215">
        <v>75</v>
      </c>
      <c r="G45" s="205"/>
      <c r="H45" s="205"/>
      <c r="I45" s="216"/>
    </row>
    <row r="46" spans="1:9">
      <c r="A46" s="215">
        <v>26</v>
      </c>
      <c r="B46" s="205"/>
      <c r="C46" s="205"/>
      <c r="D46" s="216"/>
      <c r="E46" s="15"/>
      <c r="F46" s="215">
        <v>76</v>
      </c>
      <c r="G46" s="205"/>
      <c r="H46" s="205"/>
      <c r="I46" s="216"/>
    </row>
    <row r="47" spans="1:9">
      <c r="A47" s="215">
        <v>27</v>
      </c>
      <c r="B47" s="205"/>
      <c r="C47" s="205"/>
      <c r="D47" s="216"/>
      <c r="E47" s="15"/>
      <c r="F47" s="215">
        <v>77</v>
      </c>
      <c r="G47" s="205"/>
      <c r="H47" s="205"/>
      <c r="I47" s="216"/>
    </row>
    <row r="48" spans="1:9">
      <c r="A48" s="215">
        <v>28</v>
      </c>
      <c r="B48" s="205"/>
      <c r="C48" s="205"/>
      <c r="D48" s="216"/>
      <c r="E48" s="15"/>
      <c r="F48" s="215">
        <v>78</v>
      </c>
      <c r="G48" s="205"/>
      <c r="H48" s="205"/>
      <c r="I48" s="216"/>
    </row>
    <row r="49" spans="1:9">
      <c r="A49" s="215">
        <v>29</v>
      </c>
      <c r="B49" s="205"/>
      <c r="C49" s="205"/>
      <c r="D49" s="216"/>
      <c r="E49" s="15"/>
      <c r="F49" s="215">
        <v>79</v>
      </c>
      <c r="G49" s="205"/>
      <c r="H49" s="205"/>
      <c r="I49" s="216"/>
    </row>
    <row r="50" spans="1:9">
      <c r="A50" s="215">
        <v>30</v>
      </c>
      <c r="B50" s="205"/>
      <c r="C50" s="205"/>
      <c r="D50" s="216"/>
      <c r="E50" s="15"/>
      <c r="F50" s="215">
        <v>80</v>
      </c>
      <c r="G50" s="205"/>
      <c r="H50" s="205"/>
      <c r="I50" s="216"/>
    </row>
    <row r="51" spans="1:9">
      <c r="A51" s="215">
        <v>31</v>
      </c>
      <c r="B51" s="205"/>
      <c r="C51" s="205"/>
      <c r="D51" s="216"/>
      <c r="E51" s="15"/>
      <c r="F51" s="215">
        <v>81</v>
      </c>
      <c r="G51" s="205"/>
      <c r="H51" s="205"/>
      <c r="I51" s="216"/>
    </row>
    <row r="52" spans="1:9">
      <c r="A52" s="215">
        <v>32</v>
      </c>
      <c r="B52" s="205"/>
      <c r="C52" s="205"/>
      <c r="D52" s="216"/>
      <c r="E52" s="15"/>
      <c r="F52" s="215">
        <v>82</v>
      </c>
      <c r="G52" s="205"/>
      <c r="H52" s="205"/>
      <c r="I52" s="216"/>
    </row>
    <row r="53" spans="1:9">
      <c r="A53" s="215">
        <v>33</v>
      </c>
      <c r="B53" s="205"/>
      <c r="C53" s="205"/>
      <c r="D53" s="216"/>
      <c r="E53" s="15"/>
      <c r="F53" s="215">
        <v>83</v>
      </c>
      <c r="G53" s="205"/>
      <c r="H53" s="205"/>
      <c r="I53" s="216"/>
    </row>
    <row r="54" spans="1:9">
      <c r="A54" s="215">
        <v>34</v>
      </c>
      <c r="B54" s="205"/>
      <c r="C54" s="205"/>
      <c r="D54" s="216"/>
      <c r="E54" s="15"/>
      <c r="F54" s="215">
        <v>84</v>
      </c>
      <c r="G54" s="205"/>
      <c r="H54" s="205"/>
      <c r="I54" s="216"/>
    </row>
    <row r="55" spans="1:9">
      <c r="A55" s="215">
        <v>35</v>
      </c>
      <c r="B55" s="205"/>
      <c r="C55" s="205"/>
      <c r="D55" s="216"/>
      <c r="E55" s="15"/>
      <c r="F55" s="215">
        <v>85</v>
      </c>
      <c r="G55" s="205"/>
      <c r="H55" s="205"/>
      <c r="I55" s="216"/>
    </row>
    <row r="56" spans="1:9">
      <c r="A56" s="215">
        <v>36</v>
      </c>
      <c r="B56" s="205"/>
      <c r="C56" s="205"/>
      <c r="D56" s="216"/>
      <c r="E56" s="15"/>
      <c r="F56" s="215">
        <v>86</v>
      </c>
      <c r="G56" s="205"/>
      <c r="H56" s="205"/>
      <c r="I56" s="216"/>
    </row>
    <row r="57" spans="1:9">
      <c r="A57" s="215">
        <v>37</v>
      </c>
      <c r="B57" s="205"/>
      <c r="C57" s="205"/>
      <c r="D57" s="216"/>
      <c r="E57" s="15"/>
      <c r="F57" s="215">
        <v>87</v>
      </c>
      <c r="G57" s="205"/>
      <c r="H57" s="205"/>
      <c r="I57" s="216"/>
    </row>
    <row r="58" spans="1:9">
      <c r="A58" s="215">
        <v>38</v>
      </c>
      <c r="B58" s="205"/>
      <c r="C58" s="205"/>
      <c r="D58" s="216"/>
      <c r="E58" s="15"/>
      <c r="F58" s="215">
        <v>88</v>
      </c>
      <c r="G58" s="205"/>
      <c r="H58" s="205"/>
      <c r="I58" s="216"/>
    </row>
    <row r="59" spans="1:9">
      <c r="A59" s="215">
        <v>39</v>
      </c>
      <c r="B59" s="205"/>
      <c r="C59" s="205"/>
      <c r="D59" s="216"/>
      <c r="E59" s="15"/>
      <c r="F59" s="215">
        <v>89</v>
      </c>
      <c r="G59" s="205"/>
      <c r="H59" s="205"/>
      <c r="I59" s="216"/>
    </row>
    <row r="60" spans="1:9">
      <c r="A60" s="215">
        <v>40</v>
      </c>
      <c r="B60" s="205"/>
      <c r="C60" s="205"/>
      <c r="D60" s="216"/>
      <c r="E60" s="15"/>
      <c r="F60" s="215">
        <v>90</v>
      </c>
      <c r="G60" s="205"/>
      <c r="H60" s="205"/>
      <c r="I60" s="216"/>
    </row>
    <row r="61" spans="1:9">
      <c r="A61" s="215">
        <v>41</v>
      </c>
      <c r="B61" s="205"/>
      <c r="C61" s="205"/>
      <c r="D61" s="216"/>
      <c r="E61" s="15"/>
      <c r="F61" s="215">
        <v>91</v>
      </c>
      <c r="G61" s="205"/>
      <c r="H61" s="205"/>
      <c r="I61" s="216"/>
    </row>
    <row r="62" spans="1:9">
      <c r="A62" s="215">
        <v>42</v>
      </c>
      <c r="B62" s="205"/>
      <c r="C62" s="205"/>
      <c r="D62" s="216"/>
      <c r="E62" s="15"/>
      <c r="F62" s="215">
        <v>92</v>
      </c>
      <c r="G62" s="205"/>
      <c r="H62" s="205"/>
      <c r="I62" s="216"/>
    </row>
    <row r="63" spans="1:9">
      <c r="A63" s="215">
        <v>43</v>
      </c>
      <c r="B63" s="205"/>
      <c r="C63" s="205"/>
      <c r="D63" s="216"/>
      <c r="E63" s="15"/>
      <c r="F63" s="215">
        <v>93</v>
      </c>
      <c r="G63" s="205"/>
      <c r="H63" s="205"/>
      <c r="I63" s="216"/>
    </row>
    <row r="64" spans="1:9">
      <c r="A64" s="215">
        <v>44</v>
      </c>
      <c r="B64" s="205"/>
      <c r="C64" s="205"/>
      <c r="D64" s="216"/>
      <c r="E64" s="15"/>
      <c r="F64" s="215">
        <v>94</v>
      </c>
      <c r="G64" s="205"/>
      <c r="H64" s="205"/>
      <c r="I64" s="216"/>
    </row>
    <row r="65" spans="1:9">
      <c r="A65" s="215">
        <v>45</v>
      </c>
      <c r="B65" s="205"/>
      <c r="C65" s="205"/>
      <c r="D65" s="216"/>
      <c r="E65" s="15"/>
      <c r="F65" s="215">
        <v>95</v>
      </c>
      <c r="G65" s="205"/>
      <c r="H65" s="205"/>
      <c r="I65" s="216"/>
    </row>
    <row r="66" spans="1:9">
      <c r="A66" s="215">
        <v>46</v>
      </c>
      <c r="B66" s="205"/>
      <c r="C66" s="205"/>
      <c r="D66" s="216"/>
      <c r="E66" s="15"/>
      <c r="F66" s="215">
        <v>96</v>
      </c>
      <c r="G66" s="205"/>
      <c r="H66" s="205"/>
      <c r="I66" s="216"/>
    </row>
    <row r="67" spans="1:9">
      <c r="A67" s="215">
        <v>47</v>
      </c>
      <c r="B67" s="205"/>
      <c r="C67" s="205"/>
      <c r="D67" s="216"/>
      <c r="E67" s="15"/>
      <c r="F67" s="215">
        <v>97</v>
      </c>
      <c r="G67" s="205"/>
      <c r="H67" s="205"/>
      <c r="I67" s="216"/>
    </row>
    <row r="68" spans="1:9">
      <c r="A68" s="215">
        <v>48</v>
      </c>
      <c r="B68" s="205"/>
      <c r="C68" s="205"/>
      <c r="D68" s="216"/>
      <c r="E68" s="15"/>
      <c r="F68" s="215">
        <v>98</v>
      </c>
      <c r="G68" s="205"/>
      <c r="H68" s="205"/>
      <c r="I68" s="216"/>
    </row>
    <row r="69" spans="1:9">
      <c r="A69" s="215">
        <v>49</v>
      </c>
      <c r="B69" s="205"/>
      <c r="C69" s="205"/>
      <c r="D69" s="216"/>
      <c r="E69" s="15"/>
      <c r="F69" s="215">
        <v>99</v>
      </c>
      <c r="G69" s="205"/>
      <c r="H69" s="205"/>
      <c r="I69" s="216"/>
    </row>
    <row r="70" spans="1:9" ht="16.2" thickBot="1">
      <c r="A70" s="217">
        <v>50</v>
      </c>
      <c r="B70" s="218"/>
      <c r="C70" s="218"/>
      <c r="D70" s="219"/>
      <c r="E70" s="15"/>
      <c r="F70" s="217">
        <v>100</v>
      </c>
      <c r="G70" s="218"/>
      <c r="H70" s="218"/>
      <c r="I70" s="219"/>
    </row>
    <row r="71" spans="1:9">
      <c r="A71" s="15"/>
      <c r="B71" s="15"/>
      <c r="C71" s="15"/>
      <c r="D71" s="15"/>
      <c r="E71" s="15"/>
      <c r="F71" s="15"/>
      <c r="G71" s="15"/>
      <c r="H71" s="15"/>
      <c r="I71" s="15"/>
    </row>
    <row r="72" spans="1:9">
      <c r="A72" s="3" t="s">
        <v>134</v>
      </c>
    </row>
    <row r="75" spans="1:9">
      <c r="A75" s="223" t="s">
        <v>135</v>
      </c>
      <c r="B75" s="10"/>
      <c r="C75" s="10"/>
    </row>
    <row r="76" spans="1:9">
      <c r="A76" s="3" t="s">
        <v>155</v>
      </c>
    </row>
  </sheetData>
  <mergeCells count="5">
    <mergeCell ref="G4:H4"/>
    <mergeCell ref="A2:I3"/>
    <mergeCell ref="A1:I1"/>
    <mergeCell ref="E6:F6"/>
    <mergeCell ref="E7:F7"/>
  </mergeCells>
  <phoneticPr fontId="6" type="noConversion"/>
  <printOptions horizontalCentered="1" verticalCentered="1"/>
  <pageMargins left="0.51" right="0.31" top="0.53" bottom="0.47" header="0.25" footer="0.21999999999999997"/>
  <pageSetup paperSize="5" scale="78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J83"/>
  <sheetViews>
    <sheetView view="pageLayout" workbookViewId="0">
      <selection activeCell="D8" sqref="D8"/>
    </sheetView>
  </sheetViews>
  <sheetFormatPr defaultColWidth="11.19921875" defaultRowHeight="15.6"/>
  <cols>
    <col min="10" max="10" width="10.796875" customWidth="1"/>
  </cols>
  <sheetData>
    <row r="1" spans="1:10">
      <c r="A1" s="394" t="s">
        <v>136</v>
      </c>
      <c r="B1" s="394"/>
      <c r="C1" s="394"/>
      <c r="D1" s="394"/>
      <c r="E1" s="394"/>
      <c r="F1" s="394"/>
      <c r="G1" s="394"/>
      <c r="H1" s="394"/>
      <c r="I1" s="394"/>
      <c r="J1" s="220"/>
    </row>
    <row r="2" spans="1:10" ht="18">
      <c r="A2" s="395" t="s">
        <v>121</v>
      </c>
      <c r="B2" s="395"/>
      <c r="C2" s="395"/>
      <c r="D2" s="395"/>
      <c r="E2" s="395"/>
      <c r="F2" s="395"/>
      <c r="G2" s="395"/>
      <c r="H2" s="395"/>
      <c r="I2" s="395"/>
      <c r="J2" s="221"/>
    </row>
    <row r="3" spans="1:10" ht="18">
      <c r="A3" s="395"/>
      <c r="B3" s="395"/>
      <c r="C3" s="395"/>
      <c r="D3" s="395"/>
      <c r="E3" s="395"/>
      <c r="F3" s="395"/>
      <c r="G3" s="395"/>
      <c r="H3" s="395"/>
      <c r="I3" s="395"/>
      <c r="J3" s="221"/>
    </row>
    <row r="4" spans="1:10">
      <c r="A4" s="32"/>
      <c r="B4" s="32"/>
      <c r="C4" s="32"/>
      <c r="D4" s="32"/>
      <c r="E4" s="32"/>
      <c r="F4" s="32"/>
      <c r="G4" s="396" t="s">
        <v>108</v>
      </c>
      <c r="H4" s="396"/>
      <c r="I4" s="69"/>
      <c r="J4" s="32"/>
    </row>
    <row r="5" spans="1:10">
      <c r="A5" s="95" t="s">
        <v>126</v>
      </c>
      <c r="B5" s="95"/>
      <c r="C5" s="32"/>
      <c r="D5" s="32"/>
      <c r="E5" s="32"/>
      <c r="F5" s="32"/>
      <c r="G5" s="32"/>
      <c r="H5" s="32"/>
      <c r="I5" s="32"/>
      <c r="J5" s="32"/>
    </row>
    <row r="6" spans="1:10" ht="16.2" thickBot="1">
      <c r="A6" s="32"/>
      <c r="B6" s="32"/>
      <c r="C6" s="32"/>
      <c r="D6" s="32"/>
      <c r="E6" s="32"/>
      <c r="F6" s="32"/>
      <c r="G6" s="32"/>
      <c r="H6" s="32"/>
      <c r="I6" s="32"/>
      <c r="J6" s="32"/>
    </row>
    <row r="7" spans="1:10" ht="16.2" thickBot="1">
      <c r="A7" s="224" t="s">
        <v>12</v>
      </c>
      <c r="B7" s="225" t="s">
        <v>127</v>
      </c>
      <c r="C7" s="225" t="s">
        <v>128</v>
      </c>
      <c r="D7" s="226" t="s">
        <v>129</v>
      </c>
      <c r="E7" s="96"/>
      <c r="F7" s="224" t="s">
        <v>12</v>
      </c>
      <c r="G7" s="225" t="s">
        <v>127</v>
      </c>
      <c r="H7" s="225" t="s">
        <v>128</v>
      </c>
      <c r="I7" s="226" t="s">
        <v>129</v>
      </c>
      <c r="J7" s="32"/>
    </row>
    <row r="8" spans="1:10">
      <c r="A8" s="229">
        <v>101</v>
      </c>
      <c r="B8" s="230"/>
      <c r="C8" s="230"/>
      <c r="D8" s="231"/>
      <c r="E8" s="96"/>
      <c r="F8" s="229">
        <v>171</v>
      </c>
      <c r="G8" s="230"/>
      <c r="H8" s="230"/>
      <c r="I8" s="231"/>
      <c r="J8" s="32"/>
    </row>
    <row r="9" spans="1:10">
      <c r="A9" s="232">
        <v>102</v>
      </c>
      <c r="B9" s="227"/>
      <c r="C9" s="227"/>
      <c r="D9" s="233"/>
      <c r="E9" s="96"/>
      <c r="F9" s="232">
        <v>172</v>
      </c>
      <c r="G9" s="227"/>
      <c r="H9" s="227"/>
      <c r="I9" s="233"/>
      <c r="J9" s="32"/>
    </row>
    <row r="10" spans="1:10">
      <c r="A10" s="232">
        <v>103</v>
      </c>
      <c r="B10" s="227"/>
      <c r="C10" s="227"/>
      <c r="D10" s="233"/>
      <c r="E10" s="96"/>
      <c r="F10" s="232">
        <v>173</v>
      </c>
      <c r="G10" s="227"/>
      <c r="H10" s="227"/>
      <c r="I10" s="233"/>
      <c r="J10" s="32"/>
    </row>
    <row r="11" spans="1:10">
      <c r="A11" s="232">
        <v>104</v>
      </c>
      <c r="B11" s="227"/>
      <c r="C11" s="227"/>
      <c r="D11" s="233"/>
      <c r="E11" s="96"/>
      <c r="F11" s="232">
        <v>174</v>
      </c>
      <c r="G11" s="227"/>
      <c r="H11" s="227"/>
      <c r="I11" s="233"/>
      <c r="J11" s="32"/>
    </row>
    <row r="12" spans="1:10">
      <c r="A12" s="232">
        <v>105</v>
      </c>
      <c r="B12" s="227"/>
      <c r="C12" s="227"/>
      <c r="D12" s="233"/>
      <c r="E12" s="96"/>
      <c r="F12" s="232">
        <v>175</v>
      </c>
      <c r="G12" s="227"/>
      <c r="H12" s="227"/>
      <c r="I12" s="233"/>
      <c r="J12" s="32"/>
    </row>
    <row r="13" spans="1:10">
      <c r="A13" s="232">
        <v>106</v>
      </c>
      <c r="B13" s="227"/>
      <c r="C13" s="227"/>
      <c r="D13" s="233"/>
      <c r="E13" s="96"/>
      <c r="F13" s="232">
        <v>176</v>
      </c>
      <c r="G13" s="227"/>
      <c r="H13" s="227"/>
      <c r="I13" s="233"/>
      <c r="J13" s="32"/>
    </row>
    <row r="14" spans="1:10">
      <c r="A14" s="232">
        <v>107</v>
      </c>
      <c r="B14" s="227"/>
      <c r="C14" s="227"/>
      <c r="D14" s="233"/>
      <c r="E14" s="96"/>
      <c r="F14" s="232">
        <v>177</v>
      </c>
      <c r="G14" s="227"/>
      <c r="H14" s="227"/>
      <c r="I14" s="233"/>
      <c r="J14" s="32"/>
    </row>
    <row r="15" spans="1:10">
      <c r="A15" s="232">
        <v>108</v>
      </c>
      <c r="B15" s="227"/>
      <c r="C15" s="227"/>
      <c r="D15" s="233"/>
      <c r="E15" s="96"/>
      <c r="F15" s="232">
        <v>178</v>
      </c>
      <c r="G15" s="227"/>
      <c r="H15" s="227"/>
      <c r="I15" s="233"/>
      <c r="J15" s="32"/>
    </row>
    <row r="16" spans="1:10">
      <c r="A16" s="232">
        <v>109</v>
      </c>
      <c r="B16" s="227"/>
      <c r="C16" s="227"/>
      <c r="D16" s="233"/>
      <c r="E16" s="96"/>
      <c r="F16" s="232">
        <v>179</v>
      </c>
      <c r="G16" s="227"/>
      <c r="H16" s="227"/>
      <c r="I16" s="233"/>
      <c r="J16" s="32"/>
    </row>
    <row r="17" spans="1:10">
      <c r="A17" s="232">
        <v>110</v>
      </c>
      <c r="B17" s="227"/>
      <c r="C17" s="227"/>
      <c r="D17" s="233"/>
      <c r="E17" s="96"/>
      <c r="F17" s="232">
        <v>180</v>
      </c>
      <c r="G17" s="227"/>
      <c r="H17" s="227"/>
      <c r="I17" s="233"/>
      <c r="J17" s="32"/>
    </row>
    <row r="18" spans="1:10">
      <c r="A18" s="232">
        <v>111</v>
      </c>
      <c r="B18" s="227"/>
      <c r="C18" s="227"/>
      <c r="D18" s="233"/>
      <c r="E18" s="96"/>
      <c r="F18" s="232">
        <v>181</v>
      </c>
      <c r="G18" s="227"/>
      <c r="H18" s="227"/>
      <c r="I18" s="233"/>
      <c r="J18" s="32"/>
    </row>
    <row r="19" spans="1:10">
      <c r="A19" s="232">
        <v>112</v>
      </c>
      <c r="B19" s="227"/>
      <c r="C19" s="227"/>
      <c r="D19" s="233"/>
      <c r="E19" s="96"/>
      <c r="F19" s="232">
        <v>182</v>
      </c>
      <c r="G19" s="227"/>
      <c r="H19" s="227"/>
      <c r="I19" s="233"/>
      <c r="J19" s="32"/>
    </row>
    <row r="20" spans="1:10">
      <c r="A20" s="232">
        <v>113</v>
      </c>
      <c r="B20" s="227"/>
      <c r="C20" s="227"/>
      <c r="D20" s="233"/>
      <c r="E20" s="96"/>
      <c r="F20" s="232">
        <v>183</v>
      </c>
      <c r="G20" s="227"/>
      <c r="H20" s="227"/>
      <c r="I20" s="233"/>
      <c r="J20" s="32"/>
    </row>
    <row r="21" spans="1:10">
      <c r="A21" s="232">
        <v>114</v>
      </c>
      <c r="B21" s="227"/>
      <c r="C21" s="227"/>
      <c r="D21" s="233"/>
      <c r="E21" s="96"/>
      <c r="F21" s="232">
        <v>184</v>
      </c>
      <c r="G21" s="227"/>
      <c r="H21" s="227"/>
      <c r="I21" s="233"/>
      <c r="J21" s="32"/>
    </row>
    <row r="22" spans="1:10">
      <c r="A22" s="232">
        <v>115</v>
      </c>
      <c r="B22" s="227"/>
      <c r="C22" s="227"/>
      <c r="D22" s="233"/>
      <c r="E22" s="96"/>
      <c r="F22" s="232">
        <v>185</v>
      </c>
      <c r="G22" s="227"/>
      <c r="H22" s="227"/>
      <c r="I22" s="233"/>
      <c r="J22" s="32"/>
    </row>
    <row r="23" spans="1:10">
      <c r="A23" s="232">
        <v>116</v>
      </c>
      <c r="B23" s="227"/>
      <c r="C23" s="227"/>
      <c r="D23" s="233"/>
      <c r="E23" s="96"/>
      <c r="F23" s="232">
        <v>186</v>
      </c>
      <c r="G23" s="227"/>
      <c r="H23" s="227"/>
      <c r="I23" s="233"/>
      <c r="J23" s="32"/>
    </row>
    <row r="24" spans="1:10">
      <c r="A24" s="232">
        <v>117</v>
      </c>
      <c r="B24" s="227"/>
      <c r="C24" s="227"/>
      <c r="D24" s="233"/>
      <c r="E24" s="96"/>
      <c r="F24" s="232">
        <v>187</v>
      </c>
      <c r="G24" s="227"/>
      <c r="H24" s="227"/>
      <c r="I24" s="233"/>
      <c r="J24" s="32"/>
    </row>
    <row r="25" spans="1:10">
      <c r="A25" s="232">
        <v>118</v>
      </c>
      <c r="B25" s="227"/>
      <c r="C25" s="227"/>
      <c r="D25" s="233"/>
      <c r="E25" s="96"/>
      <c r="F25" s="232">
        <v>188</v>
      </c>
      <c r="G25" s="227"/>
      <c r="H25" s="227"/>
      <c r="I25" s="233"/>
      <c r="J25" s="32"/>
    </row>
    <row r="26" spans="1:10">
      <c r="A26" s="232">
        <v>119</v>
      </c>
      <c r="B26" s="227"/>
      <c r="C26" s="227"/>
      <c r="D26" s="233"/>
      <c r="E26" s="96"/>
      <c r="F26" s="232">
        <v>189</v>
      </c>
      <c r="G26" s="227"/>
      <c r="H26" s="227"/>
      <c r="I26" s="233"/>
      <c r="J26" s="32"/>
    </row>
    <row r="27" spans="1:10">
      <c r="A27" s="232">
        <v>120</v>
      </c>
      <c r="B27" s="227"/>
      <c r="C27" s="227"/>
      <c r="D27" s="233"/>
      <c r="E27" s="96"/>
      <c r="F27" s="232">
        <v>190</v>
      </c>
      <c r="G27" s="227"/>
      <c r="H27" s="227"/>
      <c r="I27" s="233"/>
      <c r="J27" s="32"/>
    </row>
    <row r="28" spans="1:10">
      <c r="A28" s="232">
        <v>121</v>
      </c>
      <c r="B28" s="227"/>
      <c r="C28" s="227"/>
      <c r="D28" s="233"/>
      <c r="E28" s="96"/>
      <c r="F28" s="232">
        <v>191</v>
      </c>
      <c r="G28" s="227"/>
      <c r="H28" s="227"/>
      <c r="I28" s="233"/>
      <c r="J28" s="32"/>
    </row>
    <row r="29" spans="1:10">
      <c r="A29" s="232">
        <v>122</v>
      </c>
      <c r="B29" s="227"/>
      <c r="C29" s="227"/>
      <c r="D29" s="233"/>
      <c r="E29" s="96"/>
      <c r="F29" s="232">
        <v>192</v>
      </c>
      <c r="G29" s="227"/>
      <c r="H29" s="227"/>
      <c r="I29" s="233"/>
      <c r="J29" s="32"/>
    </row>
    <row r="30" spans="1:10">
      <c r="A30" s="232">
        <v>123</v>
      </c>
      <c r="B30" s="227"/>
      <c r="C30" s="227"/>
      <c r="D30" s="233"/>
      <c r="E30" s="96"/>
      <c r="F30" s="232">
        <v>193</v>
      </c>
      <c r="G30" s="227"/>
      <c r="H30" s="227"/>
      <c r="I30" s="233"/>
      <c r="J30" s="32"/>
    </row>
    <row r="31" spans="1:10">
      <c r="A31" s="232">
        <v>124</v>
      </c>
      <c r="B31" s="227"/>
      <c r="C31" s="227"/>
      <c r="D31" s="233"/>
      <c r="E31" s="96"/>
      <c r="F31" s="232">
        <v>194</v>
      </c>
      <c r="G31" s="227"/>
      <c r="H31" s="227"/>
      <c r="I31" s="233"/>
      <c r="J31" s="32"/>
    </row>
    <row r="32" spans="1:10">
      <c r="A32" s="232">
        <v>125</v>
      </c>
      <c r="B32" s="227"/>
      <c r="C32" s="227"/>
      <c r="D32" s="233"/>
      <c r="E32" s="96"/>
      <c r="F32" s="232">
        <v>195</v>
      </c>
      <c r="G32" s="227"/>
      <c r="H32" s="227"/>
      <c r="I32" s="233"/>
      <c r="J32" s="32"/>
    </row>
    <row r="33" spans="1:10">
      <c r="A33" s="232">
        <v>126</v>
      </c>
      <c r="B33" s="227"/>
      <c r="C33" s="227"/>
      <c r="D33" s="233"/>
      <c r="E33" s="96"/>
      <c r="F33" s="232">
        <v>196</v>
      </c>
      <c r="G33" s="227"/>
      <c r="H33" s="227"/>
      <c r="I33" s="233"/>
      <c r="J33" s="32"/>
    </row>
    <row r="34" spans="1:10">
      <c r="A34" s="232">
        <v>127</v>
      </c>
      <c r="B34" s="227"/>
      <c r="C34" s="227"/>
      <c r="D34" s="233"/>
      <c r="E34" s="96"/>
      <c r="F34" s="232">
        <v>197</v>
      </c>
      <c r="G34" s="227"/>
      <c r="H34" s="227"/>
      <c r="I34" s="233"/>
      <c r="J34" s="32"/>
    </row>
    <row r="35" spans="1:10">
      <c r="A35" s="232">
        <v>128</v>
      </c>
      <c r="B35" s="227"/>
      <c r="C35" s="227"/>
      <c r="D35" s="233"/>
      <c r="E35" s="96"/>
      <c r="F35" s="232">
        <v>198</v>
      </c>
      <c r="G35" s="227"/>
      <c r="H35" s="227"/>
      <c r="I35" s="233"/>
      <c r="J35" s="32"/>
    </row>
    <row r="36" spans="1:10">
      <c r="A36" s="232">
        <v>129</v>
      </c>
      <c r="B36" s="227"/>
      <c r="C36" s="227"/>
      <c r="D36" s="233"/>
      <c r="E36" s="96"/>
      <c r="F36" s="232">
        <v>199</v>
      </c>
      <c r="G36" s="227"/>
      <c r="H36" s="227"/>
      <c r="I36" s="233"/>
      <c r="J36" s="32"/>
    </row>
    <row r="37" spans="1:10">
      <c r="A37" s="232">
        <v>130</v>
      </c>
      <c r="B37" s="227"/>
      <c r="C37" s="227"/>
      <c r="D37" s="233"/>
      <c r="E37" s="96"/>
      <c r="F37" s="232">
        <v>200</v>
      </c>
      <c r="G37" s="227"/>
      <c r="H37" s="227"/>
      <c r="I37" s="233"/>
      <c r="J37" s="32"/>
    </row>
    <row r="38" spans="1:10">
      <c r="A38" s="232">
        <v>131</v>
      </c>
      <c r="B38" s="227"/>
      <c r="C38" s="227"/>
      <c r="D38" s="233"/>
      <c r="E38" s="96"/>
      <c r="F38" s="232">
        <v>201</v>
      </c>
      <c r="G38" s="227"/>
      <c r="H38" s="227"/>
      <c r="I38" s="233"/>
      <c r="J38" s="32"/>
    </row>
    <row r="39" spans="1:10">
      <c r="A39" s="232">
        <v>132</v>
      </c>
      <c r="B39" s="227"/>
      <c r="C39" s="227"/>
      <c r="D39" s="233"/>
      <c r="E39" s="96"/>
      <c r="F39" s="232">
        <v>202</v>
      </c>
      <c r="G39" s="227"/>
      <c r="H39" s="227"/>
      <c r="I39" s="233"/>
      <c r="J39" s="32"/>
    </row>
    <row r="40" spans="1:10">
      <c r="A40" s="232">
        <v>133</v>
      </c>
      <c r="B40" s="227"/>
      <c r="C40" s="227"/>
      <c r="D40" s="233"/>
      <c r="E40" s="96"/>
      <c r="F40" s="232">
        <v>203</v>
      </c>
      <c r="G40" s="227"/>
      <c r="H40" s="227"/>
      <c r="I40" s="233"/>
      <c r="J40" s="32"/>
    </row>
    <row r="41" spans="1:10">
      <c r="A41" s="232">
        <v>134</v>
      </c>
      <c r="B41" s="227"/>
      <c r="C41" s="227"/>
      <c r="D41" s="233"/>
      <c r="E41" s="96"/>
      <c r="F41" s="232">
        <v>204</v>
      </c>
      <c r="G41" s="227"/>
      <c r="H41" s="227"/>
      <c r="I41" s="233"/>
      <c r="J41" s="32"/>
    </row>
    <row r="42" spans="1:10">
      <c r="A42" s="232">
        <v>135</v>
      </c>
      <c r="B42" s="227"/>
      <c r="C42" s="227"/>
      <c r="D42" s="233"/>
      <c r="E42" s="96"/>
      <c r="F42" s="232">
        <v>205</v>
      </c>
      <c r="G42" s="227"/>
      <c r="H42" s="227"/>
      <c r="I42" s="233"/>
      <c r="J42" s="32"/>
    </row>
    <row r="43" spans="1:10">
      <c r="A43" s="232">
        <v>136</v>
      </c>
      <c r="B43" s="227"/>
      <c r="C43" s="227"/>
      <c r="D43" s="233"/>
      <c r="E43" s="96"/>
      <c r="F43" s="232">
        <v>206</v>
      </c>
      <c r="G43" s="227"/>
      <c r="H43" s="227"/>
      <c r="I43" s="233"/>
      <c r="J43" s="32"/>
    </row>
    <row r="44" spans="1:10">
      <c r="A44" s="232">
        <v>137</v>
      </c>
      <c r="B44" s="227"/>
      <c r="C44" s="227"/>
      <c r="D44" s="233"/>
      <c r="E44" s="96"/>
      <c r="F44" s="232">
        <v>207</v>
      </c>
      <c r="G44" s="227"/>
      <c r="H44" s="227"/>
      <c r="I44" s="233"/>
      <c r="J44" s="32"/>
    </row>
    <row r="45" spans="1:10">
      <c r="A45" s="232">
        <v>138</v>
      </c>
      <c r="B45" s="227"/>
      <c r="C45" s="227"/>
      <c r="D45" s="233"/>
      <c r="E45" s="96"/>
      <c r="F45" s="232">
        <v>208</v>
      </c>
      <c r="G45" s="227"/>
      <c r="H45" s="227"/>
      <c r="I45" s="233"/>
      <c r="J45" s="32"/>
    </row>
    <row r="46" spans="1:10">
      <c r="A46" s="232">
        <v>139</v>
      </c>
      <c r="B46" s="227"/>
      <c r="C46" s="227"/>
      <c r="D46" s="233"/>
      <c r="E46" s="96"/>
      <c r="F46" s="232">
        <v>209</v>
      </c>
      <c r="G46" s="227"/>
      <c r="H46" s="227"/>
      <c r="I46" s="233"/>
      <c r="J46" s="32"/>
    </row>
    <row r="47" spans="1:10">
      <c r="A47" s="232">
        <v>140</v>
      </c>
      <c r="B47" s="227"/>
      <c r="C47" s="227"/>
      <c r="D47" s="233"/>
      <c r="E47" s="96"/>
      <c r="F47" s="232">
        <v>210</v>
      </c>
      <c r="G47" s="227"/>
      <c r="H47" s="227"/>
      <c r="I47" s="233"/>
      <c r="J47" s="32"/>
    </row>
    <row r="48" spans="1:10">
      <c r="A48" s="232">
        <v>141</v>
      </c>
      <c r="B48" s="227"/>
      <c r="C48" s="227"/>
      <c r="D48" s="233"/>
      <c r="E48" s="96"/>
      <c r="F48" s="232">
        <v>211</v>
      </c>
      <c r="G48" s="227"/>
      <c r="H48" s="227"/>
      <c r="I48" s="233"/>
      <c r="J48" s="32"/>
    </row>
    <row r="49" spans="1:10">
      <c r="A49" s="232">
        <v>142</v>
      </c>
      <c r="B49" s="227"/>
      <c r="C49" s="227"/>
      <c r="D49" s="233"/>
      <c r="E49" s="96"/>
      <c r="F49" s="232">
        <v>212</v>
      </c>
      <c r="G49" s="227"/>
      <c r="H49" s="227"/>
      <c r="I49" s="233"/>
      <c r="J49" s="32"/>
    </row>
    <row r="50" spans="1:10">
      <c r="A50" s="232">
        <v>143</v>
      </c>
      <c r="B50" s="227"/>
      <c r="C50" s="227"/>
      <c r="D50" s="233"/>
      <c r="E50" s="96"/>
      <c r="F50" s="232">
        <v>213</v>
      </c>
      <c r="G50" s="227"/>
      <c r="H50" s="227"/>
      <c r="I50" s="233"/>
      <c r="J50" s="32"/>
    </row>
    <row r="51" spans="1:10">
      <c r="A51" s="232">
        <v>144</v>
      </c>
      <c r="B51" s="227"/>
      <c r="C51" s="227"/>
      <c r="D51" s="233"/>
      <c r="E51" s="96"/>
      <c r="F51" s="232">
        <v>214</v>
      </c>
      <c r="G51" s="227"/>
      <c r="H51" s="227"/>
      <c r="I51" s="233"/>
      <c r="J51" s="32"/>
    </row>
    <row r="52" spans="1:10">
      <c r="A52" s="232">
        <v>145</v>
      </c>
      <c r="B52" s="227"/>
      <c r="C52" s="227"/>
      <c r="D52" s="233"/>
      <c r="E52" s="96"/>
      <c r="F52" s="232">
        <v>215</v>
      </c>
      <c r="G52" s="227"/>
      <c r="H52" s="227"/>
      <c r="I52" s="233"/>
      <c r="J52" s="32"/>
    </row>
    <row r="53" spans="1:10">
      <c r="A53" s="232">
        <v>146</v>
      </c>
      <c r="B53" s="227"/>
      <c r="C53" s="227"/>
      <c r="D53" s="233"/>
      <c r="E53" s="96"/>
      <c r="F53" s="232">
        <v>216</v>
      </c>
      <c r="G53" s="227"/>
      <c r="H53" s="227"/>
      <c r="I53" s="233"/>
      <c r="J53" s="32"/>
    </row>
    <row r="54" spans="1:10">
      <c r="A54" s="232">
        <v>147</v>
      </c>
      <c r="B54" s="227"/>
      <c r="C54" s="227"/>
      <c r="D54" s="233"/>
      <c r="E54" s="96"/>
      <c r="F54" s="232">
        <v>217</v>
      </c>
      <c r="G54" s="227"/>
      <c r="H54" s="227"/>
      <c r="I54" s="233"/>
      <c r="J54" s="32"/>
    </row>
    <row r="55" spans="1:10">
      <c r="A55" s="232">
        <v>148</v>
      </c>
      <c r="B55" s="227"/>
      <c r="C55" s="227"/>
      <c r="D55" s="233"/>
      <c r="E55" s="96"/>
      <c r="F55" s="232">
        <v>218</v>
      </c>
      <c r="G55" s="227"/>
      <c r="H55" s="227"/>
      <c r="I55" s="233"/>
      <c r="J55" s="32"/>
    </row>
    <row r="56" spans="1:10">
      <c r="A56" s="232">
        <v>149</v>
      </c>
      <c r="B56" s="227"/>
      <c r="C56" s="227"/>
      <c r="D56" s="233"/>
      <c r="E56" s="96"/>
      <c r="F56" s="232">
        <v>219</v>
      </c>
      <c r="G56" s="227"/>
      <c r="H56" s="227"/>
      <c r="I56" s="233"/>
      <c r="J56" s="32"/>
    </row>
    <row r="57" spans="1:10">
      <c r="A57" s="232">
        <v>150</v>
      </c>
      <c r="B57" s="227"/>
      <c r="C57" s="227"/>
      <c r="D57" s="233"/>
      <c r="E57" s="96"/>
      <c r="F57" s="232">
        <v>220</v>
      </c>
      <c r="G57" s="227"/>
      <c r="H57" s="227"/>
      <c r="I57" s="233"/>
      <c r="J57" s="32"/>
    </row>
    <row r="58" spans="1:10">
      <c r="A58" s="232">
        <v>151</v>
      </c>
      <c r="B58" s="227"/>
      <c r="C58" s="227"/>
      <c r="D58" s="233"/>
      <c r="F58" s="232">
        <v>221</v>
      </c>
      <c r="G58" s="228"/>
      <c r="H58" s="228"/>
      <c r="I58" s="151"/>
    </row>
    <row r="59" spans="1:10">
      <c r="A59" s="232">
        <v>152</v>
      </c>
      <c r="B59" s="227"/>
      <c r="C59" s="227"/>
      <c r="D59" s="233"/>
      <c r="F59" s="232">
        <v>222</v>
      </c>
      <c r="G59" s="228"/>
      <c r="H59" s="228"/>
      <c r="I59" s="151"/>
    </row>
    <row r="60" spans="1:10">
      <c r="A60" s="232">
        <v>153</v>
      </c>
      <c r="B60" s="227"/>
      <c r="C60" s="227"/>
      <c r="D60" s="233"/>
      <c r="F60" s="232">
        <v>223</v>
      </c>
      <c r="G60" s="228"/>
      <c r="H60" s="228"/>
      <c r="I60" s="151"/>
    </row>
    <row r="61" spans="1:10">
      <c r="A61" s="232">
        <v>154</v>
      </c>
      <c r="B61" s="227"/>
      <c r="C61" s="227"/>
      <c r="D61" s="233"/>
      <c r="F61" s="232">
        <v>224</v>
      </c>
      <c r="G61" s="228"/>
      <c r="H61" s="228"/>
      <c r="I61" s="151"/>
    </row>
    <row r="62" spans="1:10">
      <c r="A62" s="232">
        <v>155</v>
      </c>
      <c r="B62" s="227"/>
      <c r="C62" s="227"/>
      <c r="D62" s="233"/>
      <c r="F62" s="232">
        <v>225</v>
      </c>
      <c r="G62" s="228"/>
      <c r="H62" s="228"/>
      <c r="I62" s="151"/>
    </row>
    <row r="63" spans="1:10">
      <c r="A63" s="232">
        <v>156</v>
      </c>
      <c r="B63" s="227"/>
      <c r="C63" s="227"/>
      <c r="D63" s="233"/>
      <c r="F63" s="232">
        <v>226</v>
      </c>
      <c r="G63" s="228"/>
      <c r="H63" s="228"/>
      <c r="I63" s="151"/>
    </row>
    <row r="64" spans="1:10">
      <c r="A64" s="232">
        <v>157</v>
      </c>
      <c r="B64" s="227"/>
      <c r="C64" s="227"/>
      <c r="D64" s="233"/>
      <c r="F64" s="232">
        <v>227</v>
      </c>
      <c r="G64" s="228"/>
      <c r="H64" s="228"/>
      <c r="I64" s="151"/>
    </row>
    <row r="65" spans="1:9">
      <c r="A65" s="232">
        <v>158</v>
      </c>
      <c r="B65" s="227"/>
      <c r="C65" s="227"/>
      <c r="D65" s="233"/>
      <c r="F65" s="232">
        <v>228</v>
      </c>
      <c r="G65" s="228"/>
      <c r="H65" s="228"/>
      <c r="I65" s="151"/>
    </row>
    <row r="66" spans="1:9">
      <c r="A66" s="232">
        <v>159</v>
      </c>
      <c r="B66" s="227"/>
      <c r="C66" s="227"/>
      <c r="D66" s="233"/>
      <c r="F66" s="232">
        <v>229</v>
      </c>
      <c r="G66" s="228"/>
      <c r="H66" s="228"/>
      <c r="I66" s="151"/>
    </row>
    <row r="67" spans="1:9">
      <c r="A67" s="232">
        <v>160</v>
      </c>
      <c r="B67" s="227"/>
      <c r="C67" s="227"/>
      <c r="D67" s="233"/>
      <c r="F67" s="232">
        <v>230</v>
      </c>
      <c r="G67" s="228"/>
      <c r="H67" s="228"/>
      <c r="I67" s="151"/>
    </row>
    <row r="68" spans="1:9">
      <c r="A68" s="232">
        <v>161</v>
      </c>
      <c r="B68" s="227"/>
      <c r="C68" s="227"/>
      <c r="D68" s="233"/>
      <c r="F68" s="232">
        <v>231</v>
      </c>
      <c r="G68" s="228"/>
      <c r="H68" s="228"/>
      <c r="I68" s="151"/>
    </row>
    <row r="69" spans="1:9">
      <c r="A69" s="232">
        <v>162</v>
      </c>
      <c r="B69" s="227"/>
      <c r="C69" s="227"/>
      <c r="D69" s="233"/>
      <c r="F69" s="232">
        <v>232</v>
      </c>
      <c r="G69" s="228"/>
      <c r="H69" s="228"/>
      <c r="I69" s="151"/>
    </row>
    <row r="70" spans="1:9">
      <c r="A70" s="232">
        <v>163</v>
      </c>
      <c r="B70" s="227"/>
      <c r="C70" s="227"/>
      <c r="D70" s="233"/>
      <c r="F70" s="232">
        <v>233</v>
      </c>
      <c r="G70" s="228"/>
      <c r="H70" s="228"/>
      <c r="I70" s="151"/>
    </row>
    <row r="71" spans="1:9">
      <c r="A71" s="232">
        <v>164</v>
      </c>
      <c r="B71" s="227"/>
      <c r="C71" s="227"/>
      <c r="D71" s="233"/>
      <c r="F71" s="232">
        <v>234</v>
      </c>
      <c r="G71" s="228"/>
      <c r="H71" s="228"/>
      <c r="I71" s="151"/>
    </row>
    <row r="72" spans="1:9">
      <c r="A72" s="232">
        <v>165</v>
      </c>
      <c r="B72" s="227"/>
      <c r="C72" s="227"/>
      <c r="D72" s="233"/>
      <c r="F72" s="232">
        <v>235</v>
      </c>
      <c r="G72" s="228"/>
      <c r="H72" s="228"/>
      <c r="I72" s="151"/>
    </row>
    <row r="73" spans="1:9">
      <c r="A73" s="232">
        <v>166</v>
      </c>
      <c r="B73" s="227"/>
      <c r="C73" s="227"/>
      <c r="D73" s="233"/>
      <c r="F73" s="232">
        <v>236</v>
      </c>
      <c r="G73" s="228"/>
      <c r="H73" s="228"/>
      <c r="I73" s="151"/>
    </row>
    <row r="74" spans="1:9">
      <c r="A74" s="232">
        <v>167</v>
      </c>
      <c r="B74" s="227"/>
      <c r="C74" s="227"/>
      <c r="D74" s="233"/>
      <c r="F74" s="232">
        <v>237</v>
      </c>
      <c r="G74" s="228"/>
      <c r="H74" s="228"/>
      <c r="I74" s="151"/>
    </row>
    <row r="75" spans="1:9">
      <c r="A75" s="232">
        <v>168</v>
      </c>
      <c r="B75" s="227"/>
      <c r="C75" s="227"/>
      <c r="D75" s="233"/>
      <c r="F75" s="232">
        <v>238</v>
      </c>
      <c r="G75" s="228"/>
      <c r="H75" s="228"/>
      <c r="I75" s="151"/>
    </row>
    <row r="76" spans="1:9">
      <c r="A76" s="232">
        <v>169</v>
      </c>
      <c r="B76" s="227"/>
      <c r="C76" s="227"/>
      <c r="D76" s="233"/>
      <c r="F76" s="232">
        <v>239</v>
      </c>
      <c r="G76" s="228"/>
      <c r="H76" s="228"/>
      <c r="I76" s="151"/>
    </row>
    <row r="77" spans="1:9" ht="16.2" thickBot="1">
      <c r="A77" s="234">
        <v>170</v>
      </c>
      <c r="B77" s="236"/>
      <c r="C77" s="236"/>
      <c r="D77" s="237"/>
      <c r="F77" s="234">
        <v>240</v>
      </c>
      <c r="G77" s="235"/>
      <c r="H77" s="235"/>
      <c r="I77" s="153"/>
    </row>
    <row r="79" spans="1:9">
      <c r="A79" s="3" t="s">
        <v>134</v>
      </c>
    </row>
    <row r="82" spans="1:4">
      <c r="A82" s="223" t="s">
        <v>138</v>
      </c>
      <c r="B82" s="10"/>
      <c r="C82" s="10"/>
      <c r="D82" s="10"/>
    </row>
    <row r="83" spans="1:4">
      <c r="A83" s="3" t="s">
        <v>155</v>
      </c>
    </row>
  </sheetData>
  <mergeCells count="3">
    <mergeCell ref="A1:I1"/>
    <mergeCell ref="A2:I3"/>
    <mergeCell ref="G4:H4"/>
  </mergeCells>
  <phoneticPr fontId="6" type="noConversion"/>
  <printOptions horizontalCentered="1" verticalCentered="1"/>
  <pageMargins left="0.75000000000000011" right="0.57000000000000006" top="0.80166666666666664" bottom="1" header="0.5" footer="0.5"/>
  <pageSetup paperSize="5" scale="67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I38"/>
  <sheetViews>
    <sheetView view="pageLayout" workbookViewId="0">
      <selection activeCell="A2" sqref="A2:I3"/>
    </sheetView>
  </sheetViews>
  <sheetFormatPr defaultColWidth="11.19921875" defaultRowHeight="15.6"/>
  <sheetData>
    <row r="1" spans="1:9">
      <c r="A1" s="392" t="s">
        <v>141</v>
      </c>
      <c r="B1" s="392"/>
      <c r="C1" s="392"/>
      <c r="D1" s="392"/>
      <c r="E1" s="392"/>
      <c r="F1" s="392"/>
      <c r="G1" s="392"/>
      <c r="H1" s="392"/>
      <c r="I1" s="392"/>
    </row>
    <row r="2" spans="1:9">
      <c r="A2" s="391" t="s">
        <v>164</v>
      </c>
      <c r="B2" s="391"/>
      <c r="C2" s="391"/>
      <c r="D2" s="391"/>
      <c r="E2" s="391"/>
      <c r="F2" s="391"/>
      <c r="G2" s="391"/>
      <c r="H2" s="391"/>
      <c r="I2" s="391"/>
    </row>
    <row r="3" spans="1:9">
      <c r="A3" s="391"/>
      <c r="B3" s="391"/>
      <c r="C3" s="391"/>
      <c r="D3" s="391"/>
      <c r="E3" s="391"/>
      <c r="F3" s="391"/>
      <c r="G3" s="391"/>
      <c r="H3" s="391"/>
      <c r="I3" s="391"/>
    </row>
    <row r="4" spans="1:9">
      <c r="G4" s="298" t="s">
        <v>108</v>
      </c>
      <c r="H4" s="298"/>
      <c r="I4" s="4"/>
    </row>
    <row r="5" spans="1:9">
      <c r="A5" s="197" t="s">
        <v>109</v>
      </c>
      <c r="B5" s="10"/>
      <c r="C5" s="10"/>
      <c r="D5" s="10"/>
      <c r="E5" s="10"/>
      <c r="F5" s="10"/>
      <c r="G5" s="10"/>
      <c r="H5" s="10"/>
      <c r="I5" s="11"/>
    </row>
    <row r="6" spans="1:9">
      <c r="A6" s="12" t="s">
        <v>24</v>
      </c>
      <c r="B6" s="4"/>
      <c r="C6" s="4"/>
      <c r="D6" s="2"/>
      <c r="E6" s="393" t="s">
        <v>111</v>
      </c>
      <c r="F6" s="393"/>
      <c r="G6" s="4"/>
      <c r="H6" s="4"/>
      <c r="I6" s="13"/>
    </row>
    <row r="7" spans="1:9">
      <c r="A7" s="12" t="s">
        <v>110</v>
      </c>
      <c r="B7" s="179"/>
      <c r="C7" s="179"/>
      <c r="D7" s="2"/>
      <c r="E7" s="393" t="s">
        <v>112</v>
      </c>
      <c r="F7" s="393"/>
      <c r="G7" s="179"/>
      <c r="H7" s="179"/>
      <c r="I7" s="13"/>
    </row>
    <row r="8" spans="1:9">
      <c r="A8" s="199"/>
      <c r="B8" s="4"/>
      <c r="C8" s="4"/>
      <c r="D8" s="4"/>
      <c r="E8" s="4"/>
      <c r="F8" s="4"/>
      <c r="G8" s="201"/>
      <c r="H8" s="4"/>
      <c r="I8" s="17"/>
    </row>
    <row r="9" spans="1:9">
      <c r="A9" s="197" t="s">
        <v>113</v>
      </c>
      <c r="B9" s="10"/>
      <c r="C9" s="10"/>
      <c r="D9" s="9" t="s">
        <v>117</v>
      </c>
      <c r="E9" s="10"/>
      <c r="F9" s="10"/>
      <c r="G9" s="3" t="s">
        <v>130</v>
      </c>
      <c r="I9" s="11"/>
    </row>
    <row r="10" spans="1:9">
      <c r="A10" s="12" t="s">
        <v>114</v>
      </c>
      <c r="B10" s="198" t="s">
        <v>5</v>
      </c>
      <c r="C10" s="2"/>
      <c r="D10" s="121" t="s">
        <v>118</v>
      </c>
      <c r="E10" s="198" t="s">
        <v>5</v>
      </c>
      <c r="F10" s="2"/>
      <c r="G10" s="222" t="s">
        <v>131</v>
      </c>
      <c r="H10" s="4"/>
      <c r="I10" s="13"/>
    </row>
    <row r="11" spans="1:9">
      <c r="A11" s="12" t="s">
        <v>115</v>
      </c>
      <c r="B11" s="198" t="s">
        <v>5</v>
      </c>
      <c r="C11" s="2"/>
      <c r="D11" s="2" t="s">
        <v>119</v>
      </c>
      <c r="E11" s="198" t="s">
        <v>5</v>
      </c>
      <c r="F11" s="2"/>
      <c r="G11" s="222" t="s">
        <v>132</v>
      </c>
      <c r="H11" s="179"/>
      <c r="I11" s="17"/>
    </row>
    <row r="12" spans="1:9">
      <c r="A12" s="12" t="s">
        <v>116</v>
      </c>
      <c r="B12" s="4"/>
      <c r="C12" s="4"/>
      <c r="D12" s="2" t="s">
        <v>120</v>
      </c>
      <c r="E12" s="4"/>
      <c r="F12" s="4"/>
      <c r="G12" s="222" t="s">
        <v>133</v>
      </c>
      <c r="H12" s="179"/>
      <c r="I12" s="200"/>
    </row>
    <row r="13" spans="1:9">
      <c r="A13" s="199"/>
      <c r="B13" s="4"/>
      <c r="C13" s="4"/>
      <c r="D13" s="4"/>
      <c r="E13" s="4"/>
      <c r="F13" s="4"/>
      <c r="G13" s="4"/>
      <c r="H13" s="4"/>
      <c r="I13" s="17"/>
    </row>
    <row r="14" spans="1:9">
      <c r="A14" s="202" t="s">
        <v>122</v>
      </c>
      <c r="B14" s="10"/>
      <c r="C14" s="10"/>
      <c r="D14" s="10"/>
      <c r="E14" s="10"/>
      <c r="F14" s="10"/>
      <c r="G14" s="10"/>
      <c r="H14" s="10"/>
      <c r="I14" s="11"/>
    </row>
    <row r="15" spans="1:9">
      <c r="A15" s="12"/>
      <c r="B15" s="2"/>
      <c r="C15" s="2"/>
      <c r="D15" s="2"/>
      <c r="E15" s="2"/>
      <c r="F15" s="2"/>
      <c r="G15" s="2"/>
      <c r="H15" s="2"/>
      <c r="I15" s="13"/>
    </row>
    <row r="16" spans="1:9">
      <c r="A16" s="49" t="s">
        <v>123</v>
      </c>
      <c r="B16" s="14" t="s">
        <v>5</v>
      </c>
      <c r="C16" s="114" t="s">
        <v>124</v>
      </c>
      <c r="D16" s="14" t="s">
        <v>5</v>
      </c>
      <c r="E16" s="45" t="s">
        <v>125</v>
      </c>
      <c r="G16" s="14" t="s">
        <v>5</v>
      </c>
      <c r="I16" s="13"/>
    </row>
    <row r="17" spans="1:9">
      <c r="A17" s="199"/>
      <c r="B17" s="4"/>
      <c r="C17" s="4"/>
      <c r="D17" s="4"/>
      <c r="E17" s="4"/>
      <c r="F17" s="4"/>
      <c r="G17" s="4"/>
      <c r="H17" s="4"/>
      <c r="I17" s="17"/>
    </row>
    <row r="18" spans="1:9" ht="15" customHeight="1"/>
    <row r="19" spans="1:9">
      <c r="A19" s="8" t="s">
        <v>139</v>
      </c>
      <c r="B19" s="10"/>
      <c r="C19" s="10"/>
      <c r="D19" s="10"/>
      <c r="E19" s="10"/>
      <c r="F19" s="10"/>
      <c r="G19" s="10"/>
      <c r="H19" s="10"/>
      <c r="I19" s="11"/>
    </row>
    <row r="20" spans="1:9" ht="15" customHeight="1">
      <c r="A20" s="12"/>
      <c r="B20" s="2"/>
      <c r="C20" s="2"/>
      <c r="D20" s="2"/>
      <c r="E20" s="2"/>
      <c r="F20" s="2"/>
      <c r="G20" s="2"/>
      <c r="H20" s="2"/>
      <c r="I20" s="13"/>
    </row>
    <row r="21" spans="1:9">
      <c r="A21" s="12"/>
      <c r="B21" s="397" t="s">
        <v>140</v>
      </c>
      <c r="C21" s="397"/>
      <c r="D21" s="14" t="s">
        <v>5</v>
      </c>
      <c r="E21" s="398" t="s">
        <v>142</v>
      </c>
      <c r="F21" s="398"/>
      <c r="G21" s="14" t="s">
        <v>5</v>
      </c>
      <c r="H21" s="2"/>
      <c r="I21" s="13"/>
    </row>
    <row r="22" spans="1:9" ht="15" customHeight="1">
      <c r="A22" s="199"/>
      <c r="B22" s="4"/>
      <c r="C22" s="4"/>
      <c r="D22" s="4"/>
      <c r="E22" s="4"/>
      <c r="F22" s="4"/>
      <c r="G22" s="4"/>
      <c r="H22" s="4"/>
      <c r="I22" s="17"/>
    </row>
    <row r="23" spans="1:9" ht="15" customHeight="1">
      <c r="A23" s="2"/>
      <c r="B23" s="2"/>
      <c r="C23" s="2"/>
      <c r="D23" s="2"/>
      <c r="E23" s="2"/>
      <c r="F23" s="2"/>
      <c r="G23" s="2"/>
      <c r="H23" s="2"/>
      <c r="I23" s="2"/>
    </row>
    <row r="24" spans="1:9">
      <c r="A24" s="18" t="s">
        <v>126</v>
      </c>
      <c r="B24" s="10"/>
      <c r="C24" s="10"/>
      <c r="D24" s="10"/>
      <c r="E24" s="10"/>
      <c r="F24" s="10"/>
      <c r="G24" s="10"/>
      <c r="H24" s="10"/>
      <c r="I24" s="11"/>
    </row>
    <row r="25" spans="1:9" ht="15" customHeight="1">
      <c r="A25" s="12"/>
      <c r="B25" s="2"/>
      <c r="C25" s="2"/>
      <c r="D25" s="2"/>
      <c r="E25" s="2"/>
      <c r="F25" s="2"/>
      <c r="G25" s="2"/>
      <c r="H25" s="2"/>
      <c r="I25" s="13"/>
    </row>
    <row r="26" spans="1:9" ht="18" customHeight="1">
      <c r="A26" s="12"/>
      <c r="B26" s="397" t="s">
        <v>143</v>
      </c>
      <c r="C26" s="397"/>
      <c r="D26" s="4"/>
      <c r="E26" s="4"/>
      <c r="F26" s="2"/>
      <c r="G26" s="2"/>
      <c r="H26" s="2"/>
      <c r="I26" s="13"/>
    </row>
    <row r="27" spans="1:9" ht="18" customHeight="1">
      <c r="A27" s="12"/>
      <c r="B27" s="397" t="s">
        <v>144</v>
      </c>
      <c r="C27" s="397"/>
      <c r="D27" s="4"/>
      <c r="E27" s="4"/>
      <c r="F27" s="2"/>
      <c r="G27" s="2"/>
      <c r="H27" s="2"/>
      <c r="I27" s="13"/>
    </row>
    <row r="28" spans="1:9" ht="18" customHeight="1">
      <c r="A28" s="12"/>
      <c r="B28" s="397" t="s">
        <v>145</v>
      </c>
      <c r="C28" s="397"/>
      <c r="D28" s="4"/>
      <c r="E28" s="4"/>
      <c r="F28" s="2"/>
      <c r="G28" s="2"/>
      <c r="H28" s="2"/>
      <c r="I28" s="13"/>
    </row>
    <row r="29" spans="1:9" ht="18" customHeight="1">
      <c r="A29" s="12"/>
      <c r="B29" s="397" t="s">
        <v>146</v>
      </c>
      <c r="C29" s="397"/>
      <c r="D29" s="4"/>
      <c r="E29" s="4"/>
      <c r="F29" s="2"/>
      <c r="G29" s="2"/>
      <c r="H29" s="2"/>
      <c r="I29" s="13"/>
    </row>
    <row r="30" spans="1:9">
      <c r="A30" s="199"/>
      <c r="B30" s="4"/>
      <c r="C30" s="4"/>
      <c r="D30" s="4"/>
      <c r="E30" s="4"/>
      <c r="F30" s="4"/>
      <c r="G30" s="4"/>
      <c r="H30" s="4"/>
      <c r="I30" s="17"/>
    </row>
    <row r="32" spans="1:9">
      <c r="A32" s="3" t="s">
        <v>134</v>
      </c>
    </row>
    <row r="37" spans="1:4">
      <c r="A37" s="223" t="s">
        <v>138</v>
      </c>
      <c r="B37" s="10"/>
      <c r="C37" s="10"/>
      <c r="D37" s="10"/>
    </row>
    <row r="38" spans="1:4">
      <c r="A38" s="3" t="s">
        <v>155</v>
      </c>
    </row>
  </sheetData>
  <mergeCells count="11">
    <mergeCell ref="B26:C26"/>
    <mergeCell ref="B27:C27"/>
    <mergeCell ref="B28:C28"/>
    <mergeCell ref="B29:C29"/>
    <mergeCell ref="A1:I1"/>
    <mergeCell ref="A2:I3"/>
    <mergeCell ref="G4:H4"/>
    <mergeCell ref="E6:F6"/>
    <mergeCell ref="E7:F7"/>
    <mergeCell ref="B21:C21"/>
    <mergeCell ref="E21:F21"/>
  </mergeCells>
  <phoneticPr fontId="6" type="noConversion"/>
  <printOptions horizontalCentered="1"/>
  <pageMargins left="0.75000000000000011" right="0.75000000000000011" top="1" bottom="1" header="0.5" footer="0.5"/>
  <pageSetup scale="81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J69"/>
  <sheetViews>
    <sheetView view="pageLayout" workbookViewId="0">
      <selection activeCell="A2" sqref="A2:I3"/>
    </sheetView>
  </sheetViews>
  <sheetFormatPr defaultColWidth="11.19921875" defaultRowHeight="15.6"/>
  <cols>
    <col min="1" max="1" width="10.796875" customWidth="1"/>
    <col min="5" max="5" width="10.796875" style="2"/>
    <col min="6" max="6" width="11.69921875" customWidth="1"/>
    <col min="8" max="8" width="12.19921875" customWidth="1"/>
  </cols>
  <sheetData>
    <row r="1" spans="1:10">
      <c r="A1" s="392" t="s">
        <v>147</v>
      </c>
      <c r="B1" s="392"/>
      <c r="C1" s="392"/>
      <c r="D1" s="392"/>
      <c r="E1" s="392"/>
      <c r="F1" s="392"/>
      <c r="G1" s="392"/>
      <c r="H1" s="392"/>
      <c r="I1" s="392"/>
      <c r="J1" s="204"/>
    </row>
    <row r="2" spans="1:10" ht="18">
      <c r="A2" s="391" t="s">
        <v>148</v>
      </c>
      <c r="B2" s="391"/>
      <c r="C2" s="391"/>
      <c r="D2" s="391"/>
      <c r="E2" s="391"/>
      <c r="F2" s="391"/>
      <c r="G2" s="391"/>
      <c r="H2" s="391"/>
      <c r="I2" s="391"/>
      <c r="J2" s="203"/>
    </row>
    <row r="3" spans="1:10" ht="18">
      <c r="A3" s="391"/>
      <c r="B3" s="391"/>
      <c r="C3" s="391"/>
      <c r="D3" s="391"/>
      <c r="E3" s="391"/>
      <c r="F3" s="391"/>
      <c r="G3" s="391"/>
      <c r="H3" s="391"/>
      <c r="I3" s="391"/>
      <c r="J3" s="203"/>
    </row>
    <row r="4" spans="1:10">
      <c r="E4"/>
      <c r="G4" s="298" t="s">
        <v>157</v>
      </c>
      <c r="H4" s="298"/>
      <c r="I4" s="4"/>
    </row>
    <row r="5" spans="1:10">
      <c r="A5" s="197" t="s">
        <v>109</v>
      </c>
      <c r="B5" s="10"/>
      <c r="C5" s="10"/>
      <c r="D5" s="10"/>
      <c r="E5" s="10"/>
      <c r="F5" s="10"/>
      <c r="G5" s="10"/>
      <c r="H5" s="10"/>
      <c r="I5" s="11"/>
    </row>
    <row r="6" spans="1:10">
      <c r="A6" s="12" t="s">
        <v>24</v>
      </c>
      <c r="B6" s="4"/>
      <c r="C6" s="4"/>
      <c r="D6" s="2"/>
      <c r="E6" s="393" t="s">
        <v>111</v>
      </c>
      <c r="F6" s="393"/>
      <c r="G6" s="4"/>
      <c r="H6" s="4"/>
      <c r="I6" s="13"/>
    </row>
    <row r="7" spans="1:10">
      <c r="A7" s="12" t="s">
        <v>110</v>
      </c>
      <c r="B7" s="179"/>
      <c r="C7" s="179"/>
      <c r="D7" s="2"/>
      <c r="E7" s="393" t="s">
        <v>112</v>
      </c>
      <c r="F7" s="393"/>
      <c r="G7" s="179"/>
      <c r="H7" s="179"/>
      <c r="I7" s="13"/>
    </row>
    <row r="8" spans="1:10">
      <c r="A8" s="199"/>
      <c r="B8" s="4"/>
      <c r="C8" s="4"/>
      <c r="D8" s="4"/>
      <c r="E8" s="4"/>
      <c r="F8" s="4"/>
      <c r="G8" s="201"/>
      <c r="H8" s="4"/>
      <c r="I8" s="17"/>
    </row>
    <row r="9" spans="1:10">
      <c r="A9" s="197" t="s">
        <v>113</v>
      </c>
      <c r="B9" s="10"/>
      <c r="C9" s="10"/>
      <c r="D9" s="9" t="s">
        <v>117</v>
      </c>
      <c r="E9" s="10"/>
      <c r="F9" s="10"/>
      <c r="G9" s="3" t="s">
        <v>130</v>
      </c>
      <c r="I9" s="11"/>
    </row>
    <row r="10" spans="1:10">
      <c r="A10" s="12" t="s">
        <v>114</v>
      </c>
      <c r="B10" s="198" t="s">
        <v>5</v>
      </c>
      <c r="C10" s="2"/>
      <c r="D10" s="121" t="s">
        <v>118</v>
      </c>
      <c r="E10" s="198" t="s">
        <v>5</v>
      </c>
      <c r="F10" s="2"/>
      <c r="G10" s="222" t="s">
        <v>131</v>
      </c>
      <c r="H10" s="4"/>
      <c r="I10" s="13"/>
    </row>
    <row r="11" spans="1:10">
      <c r="A11" s="12" t="s">
        <v>115</v>
      </c>
      <c r="B11" s="198" t="s">
        <v>5</v>
      </c>
      <c r="C11" s="2"/>
      <c r="D11" s="2" t="s">
        <v>119</v>
      </c>
      <c r="E11" s="198" t="s">
        <v>5</v>
      </c>
      <c r="F11" s="2"/>
      <c r="G11" s="222" t="s">
        <v>132</v>
      </c>
      <c r="H11" s="179"/>
      <c r="I11" s="17"/>
    </row>
    <row r="12" spans="1:10">
      <c r="A12" s="12" t="s">
        <v>116</v>
      </c>
      <c r="B12" s="4"/>
      <c r="C12" s="4"/>
      <c r="D12" s="2" t="s">
        <v>120</v>
      </c>
      <c r="E12" s="4"/>
      <c r="F12" s="4"/>
      <c r="G12" s="222" t="s">
        <v>133</v>
      </c>
      <c r="H12" s="179"/>
      <c r="I12" s="200"/>
    </row>
    <row r="13" spans="1:10">
      <c r="A13" s="199"/>
      <c r="B13" s="4"/>
      <c r="C13" s="4"/>
      <c r="D13" s="4"/>
      <c r="E13" s="4"/>
      <c r="F13" s="4"/>
      <c r="G13" s="4"/>
      <c r="H13" s="4"/>
      <c r="I13" s="17"/>
    </row>
    <row r="14" spans="1:10">
      <c r="A14" s="202" t="s">
        <v>149</v>
      </c>
      <c r="B14" s="10"/>
      <c r="C14" s="10"/>
      <c r="D14" s="10"/>
      <c r="E14" s="10"/>
      <c r="F14" s="10"/>
      <c r="G14" s="10"/>
      <c r="H14" s="10"/>
      <c r="I14" s="11"/>
    </row>
    <row r="15" spans="1:10" ht="16.05" customHeight="1">
      <c r="A15" s="12"/>
      <c r="B15" s="2"/>
      <c r="C15" s="2"/>
      <c r="D15" s="2"/>
      <c r="F15" s="2"/>
      <c r="G15" s="2"/>
      <c r="H15" s="2"/>
      <c r="I15" s="13"/>
    </row>
    <row r="16" spans="1:10" ht="19.95" customHeight="1">
      <c r="A16" s="399" t="s">
        <v>150</v>
      </c>
      <c r="B16" s="300"/>
      <c r="C16" s="21"/>
      <c r="D16" s="239"/>
      <c r="E16" s="240"/>
      <c r="F16" s="4"/>
      <c r="G16" s="239"/>
      <c r="H16" s="4"/>
      <c r="I16" s="13"/>
    </row>
    <row r="17" spans="1:9" ht="19.95" customHeight="1">
      <c r="A17" s="12"/>
      <c r="B17" s="45" t="s">
        <v>151</v>
      </c>
      <c r="C17" s="243"/>
      <c r="D17" s="179"/>
      <c r="F17" s="241" t="s">
        <v>153</v>
      </c>
      <c r="G17" s="243"/>
      <c r="H17" s="179"/>
      <c r="I17" s="13"/>
    </row>
    <row r="18" spans="1:9" ht="19.95" customHeight="1">
      <c r="A18" s="12"/>
      <c r="B18" s="114" t="s">
        <v>152</v>
      </c>
      <c r="C18" s="243"/>
      <c r="D18" s="179"/>
      <c r="F18" s="242" t="s">
        <v>154</v>
      </c>
      <c r="G18" s="243"/>
      <c r="H18" s="179"/>
      <c r="I18" s="13"/>
    </row>
    <row r="19" spans="1:9">
      <c r="A19" s="199"/>
      <c r="B19" s="4"/>
      <c r="C19" s="4"/>
      <c r="D19" s="4"/>
      <c r="E19" s="4"/>
      <c r="F19" s="4"/>
      <c r="G19" s="4"/>
      <c r="H19" s="4"/>
      <c r="I19" s="17"/>
    </row>
    <row r="20" spans="1:9">
      <c r="C20" s="2"/>
      <c r="D20" s="2"/>
      <c r="F20" s="2"/>
      <c r="G20" s="2"/>
      <c r="H20" s="2"/>
      <c r="I20" s="2"/>
    </row>
    <row r="21" spans="1:9">
      <c r="A21" s="3" t="s">
        <v>126</v>
      </c>
      <c r="E21"/>
    </row>
    <row r="22" spans="1:9" ht="16.2" thickBot="1">
      <c r="E22"/>
    </row>
    <row r="23" spans="1:9" ht="16.2" thickBot="1">
      <c r="A23" s="209" t="s">
        <v>12</v>
      </c>
      <c r="B23" s="210" t="s">
        <v>127</v>
      </c>
      <c r="C23" s="210" t="s">
        <v>128</v>
      </c>
      <c r="D23" s="211" t="s">
        <v>129</v>
      </c>
      <c r="E23" s="15"/>
      <c r="F23" s="209" t="s">
        <v>12</v>
      </c>
      <c r="G23" s="210" t="s">
        <v>127</v>
      </c>
      <c r="H23" s="210" t="s">
        <v>128</v>
      </c>
      <c r="I23" s="211" t="s">
        <v>129</v>
      </c>
    </row>
    <row r="24" spans="1:9">
      <c r="A24" s="206">
        <v>1</v>
      </c>
      <c r="B24" s="207"/>
      <c r="C24" s="207"/>
      <c r="D24" s="208"/>
      <c r="E24" s="15"/>
      <c r="F24" s="206">
        <v>41</v>
      </c>
      <c r="G24" s="207"/>
      <c r="H24" s="207"/>
      <c r="I24" s="208"/>
    </row>
    <row r="25" spans="1:9">
      <c r="A25" s="215">
        <v>2</v>
      </c>
      <c r="B25" s="205"/>
      <c r="C25" s="205"/>
      <c r="D25" s="216"/>
      <c r="E25" s="15"/>
      <c r="F25" s="215">
        <v>42</v>
      </c>
      <c r="G25" s="205"/>
      <c r="H25" s="205"/>
      <c r="I25" s="216"/>
    </row>
    <row r="26" spans="1:9">
      <c r="A26" s="215">
        <v>3</v>
      </c>
      <c r="B26" s="205"/>
      <c r="C26" s="205"/>
      <c r="D26" s="216"/>
      <c r="E26" s="15"/>
      <c r="F26" s="215">
        <v>43</v>
      </c>
      <c r="G26" s="205"/>
      <c r="H26" s="205"/>
      <c r="I26" s="216"/>
    </row>
    <row r="27" spans="1:9">
      <c r="A27" s="215">
        <v>4</v>
      </c>
      <c r="B27" s="205"/>
      <c r="C27" s="205"/>
      <c r="D27" s="216"/>
      <c r="E27" s="15"/>
      <c r="F27" s="212">
        <v>44</v>
      </c>
      <c r="G27" s="205"/>
      <c r="H27" s="205"/>
      <c r="I27" s="216"/>
    </row>
    <row r="28" spans="1:9">
      <c r="A28" s="215">
        <v>5</v>
      </c>
      <c r="B28" s="205"/>
      <c r="C28" s="205"/>
      <c r="D28" s="216"/>
      <c r="E28" s="15"/>
      <c r="F28" s="215">
        <v>45</v>
      </c>
      <c r="G28" s="205"/>
      <c r="H28" s="205"/>
      <c r="I28" s="216"/>
    </row>
    <row r="29" spans="1:9">
      <c r="A29" s="215">
        <v>6</v>
      </c>
      <c r="B29" s="205"/>
      <c r="C29" s="205"/>
      <c r="D29" s="216"/>
      <c r="E29" s="15"/>
      <c r="F29" s="215">
        <v>46</v>
      </c>
      <c r="G29" s="205"/>
      <c r="H29" s="205"/>
      <c r="I29" s="216"/>
    </row>
    <row r="30" spans="1:9">
      <c r="A30" s="215">
        <v>7</v>
      </c>
      <c r="B30" s="205"/>
      <c r="C30" s="205"/>
      <c r="D30" s="216"/>
      <c r="E30" s="15"/>
      <c r="F30" s="212">
        <v>47</v>
      </c>
      <c r="G30" s="205"/>
      <c r="H30" s="205"/>
      <c r="I30" s="216"/>
    </row>
    <row r="31" spans="1:9">
      <c r="A31" s="215">
        <v>8</v>
      </c>
      <c r="B31" s="205"/>
      <c r="C31" s="205"/>
      <c r="D31" s="216"/>
      <c r="E31" s="15"/>
      <c r="F31" s="215">
        <v>48</v>
      </c>
      <c r="G31" s="205"/>
      <c r="H31" s="205"/>
      <c r="I31" s="216"/>
    </row>
    <row r="32" spans="1:9">
      <c r="A32" s="215">
        <v>9</v>
      </c>
      <c r="B32" s="205"/>
      <c r="C32" s="205"/>
      <c r="D32" s="216"/>
      <c r="E32" s="15"/>
      <c r="F32" s="215">
        <v>49</v>
      </c>
      <c r="G32" s="205"/>
      <c r="H32" s="205"/>
      <c r="I32" s="216"/>
    </row>
    <row r="33" spans="1:9">
      <c r="A33" s="215">
        <v>10</v>
      </c>
      <c r="B33" s="205"/>
      <c r="C33" s="205"/>
      <c r="D33" s="216"/>
      <c r="E33" s="15"/>
      <c r="F33" s="212">
        <v>50</v>
      </c>
      <c r="G33" s="205"/>
      <c r="H33" s="205"/>
      <c r="I33" s="216"/>
    </row>
    <row r="34" spans="1:9">
      <c r="A34" s="215">
        <v>11</v>
      </c>
      <c r="B34" s="205"/>
      <c r="C34" s="205"/>
      <c r="D34" s="216"/>
      <c r="E34" s="15"/>
      <c r="F34" s="215">
        <v>51</v>
      </c>
      <c r="G34" s="205"/>
      <c r="H34" s="205"/>
      <c r="I34" s="216"/>
    </row>
    <row r="35" spans="1:9">
      <c r="A35" s="215">
        <v>12</v>
      </c>
      <c r="B35" s="205"/>
      <c r="C35" s="205"/>
      <c r="D35" s="216"/>
      <c r="E35" s="15"/>
      <c r="F35" s="215">
        <v>52</v>
      </c>
      <c r="G35" s="205"/>
      <c r="H35" s="205"/>
      <c r="I35" s="216"/>
    </row>
    <row r="36" spans="1:9">
      <c r="A36" s="215">
        <v>13</v>
      </c>
      <c r="B36" s="205"/>
      <c r="C36" s="205"/>
      <c r="D36" s="216"/>
      <c r="E36" s="15"/>
      <c r="F36" s="212">
        <v>53</v>
      </c>
      <c r="G36" s="205"/>
      <c r="H36" s="205"/>
      <c r="I36" s="216"/>
    </row>
    <row r="37" spans="1:9">
      <c r="A37" s="215">
        <v>14</v>
      </c>
      <c r="B37" s="205"/>
      <c r="C37" s="205"/>
      <c r="D37" s="216"/>
      <c r="E37" s="15"/>
      <c r="F37" s="215">
        <v>54</v>
      </c>
      <c r="G37" s="205"/>
      <c r="H37" s="205"/>
      <c r="I37" s="216"/>
    </row>
    <row r="38" spans="1:9">
      <c r="A38" s="215">
        <v>15</v>
      </c>
      <c r="B38" s="205"/>
      <c r="C38" s="205"/>
      <c r="D38" s="216"/>
      <c r="E38" s="15"/>
      <c r="F38" s="215">
        <v>55</v>
      </c>
      <c r="G38" s="205"/>
      <c r="H38" s="205"/>
      <c r="I38" s="216"/>
    </row>
    <row r="39" spans="1:9">
      <c r="A39" s="215">
        <v>16</v>
      </c>
      <c r="B39" s="205"/>
      <c r="C39" s="205"/>
      <c r="D39" s="216"/>
      <c r="E39" s="15"/>
      <c r="F39" s="212">
        <v>56</v>
      </c>
      <c r="G39" s="205"/>
      <c r="H39" s="205"/>
      <c r="I39" s="216"/>
    </row>
    <row r="40" spans="1:9">
      <c r="A40" s="215">
        <v>17</v>
      </c>
      <c r="B40" s="205"/>
      <c r="C40" s="205"/>
      <c r="D40" s="216"/>
      <c r="E40" s="15"/>
      <c r="F40" s="215">
        <v>57</v>
      </c>
      <c r="G40" s="205"/>
      <c r="H40" s="205"/>
      <c r="I40" s="216"/>
    </row>
    <row r="41" spans="1:9">
      <c r="A41" s="215">
        <v>18</v>
      </c>
      <c r="B41" s="205"/>
      <c r="C41" s="205"/>
      <c r="D41" s="216"/>
      <c r="E41" s="15"/>
      <c r="F41" s="215">
        <v>58</v>
      </c>
      <c r="G41" s="205"/>
      <c r="H41" s="205"/>
      <c r="I41" s="216"/>
    </row>
    <row r="42" spans="1:9">
      <c r="A42" s="215">
        <v>19</v>
      </c>
      <c r="B42" s="205"/>
      <c r="C42" s="205"/>
      <c r="D42" s="216"/>
      <c r="E42" s="15"/>
      <c r="F42" s="212">
        <v>59</v>
      </c>
      <c r="G42" s="205"/>
      <c r="H42" s="205"/>
      <c r="I42" s="216"/>
    </row>
    <row r="43" spans="1:9">
      <c r="A43" s="215">
        <v>20</v>
      </c>
      <c r="B43" s="205"/>
      <c r="C43" s="205"/>
      <c r="D43" s="216"/>
      <c r="E43" s="15"/>
      <c r="F43" s="215">
        <v>60</v>
      </c>
      <c r="G43" s="205"/>
      <c r="H43" s="205"/>
      <c r="I43" s="216"/>
    </row>
    <row r="44" spans="1:9">
      <c r="A44" s="215">
        <v>21</v>
      </c>
      <c r="B44" s="205"/>
      <c r="C44" s="205"/>
      <c r="D44" s="216"/>
      <c r="E44" s="15"/>
      <c r="F44" s="215">
        <v>61</v>
      </c>
      <c r="G44" s="205"/>
      <c r="H44" s="205"/>
      <c r="I44" s="216"/>
    </row>
    <row r="45" spans="1:9">
      <c r="A45" s="215">
        <v>22</v>
      </c>
      <c r="B45" s="205"/>
      <c r="C45" s="205"/>
      <c r="D45" s="216"/>
      <c r="E45" s="15"/>
      <c r="F45" s="212">
        <v>62</v>
      </c>
      <c r="G45" s="205"/>
      <c r="H45" s="205"/>
      <c r="I45" s="216"/>
    </row>
    <row r="46" spans="1:9">
      <c r="A46" s="215">
        <v>23</v>
      </c>
      <c r="B46" s="205"/>
      <c r="C46" s="205"/>
      <c r="D46" s="216"/>
      <c r="E46" s="15"/>
      <c r="F46" s="215">
        <v>63</v>
      </c>
      <c r="G46" s="205"/>
      <c r="H46" s="205"/>
      <c r="I46" s="216"/>
    </row>
    <row r="47" spans="1:9">
      <c r="A47" s="215">
        <v>24</v>
      </c>
      <c r="B47" s="205"/>
      <c r="C47" s="205"/>
      <c r="D47" s="216"/>
      <c r="E47" s="15"/>
      <c r="F47" s="215">
        <v>64</v>
      </c>
      <c r="G47" s="205"/>
      <c r="H47" s="205"/>
      <c r="I47" s="216"/>
    </row>
    <row r="48" spans="1:9">
      <c r="A48" s="215">
        <v>25</v>
      </c>
      <c r="B48" s="205"/>
      <c r="C48" s="205"/>
      <c r="D48" s="216"/>
      <c r="E48" s="15"/>
      <c r="F48" s="212">
        <v>65</v>
      </c>
      <c r="G48" s="205"/>
      <c r="H48" s="205"/>
      <c r="I48" s="216"/>
    </row>
    <row r="49" spans="1:9">
      <c r="A49" s="215">
        <v>26</v>
      </c>
      <c r="B49" s="205"/>
      <c r="C49" s="205"/>
      <c r="D49" s="216"/>
      <c r="E49" s="15"/>
      <c r="F49" s="215">
        <v>66</v>
      </c>
      <c r="G49" s="205"/>
      <c r="H49" s="205"/>
      <c r="I49" s="216"/>
    </row>
    <row r="50" spans="1:9">
      <c r="A50" s="215">
        <v>27</v>
      </c>
      <c r="B50" s="205"/>
      <c r="C50" s="205"/>
      <c r="D50" s="216"/>
      <c r="E50" s="15"/>
      <c r="F50" s="215">
        <v>67</v>
      </c>
      <c r="G50" s="205"/>
      <c r="H50" s="205"/>
      <c r="I50" s="216"/>
    </row>
    <row r="51" spans="1:9">
      <c r="A51" s="215">
        <v>28</v>
      </c>
      <c r="B51" s="205"/>
      <c r="C51" s="205"/>
      <c r="D51" s="216"/>
      <c r="E51" s="15"/>
      <c r="F51" s="212">
        <v>68</v>
      </c>
      <c r="G51" s="205"/>
      <c r="H51" s="205"/>
      <c r="I51" s="216"/>
    </row>
    <row r="52" spans="1:9">
      <c r="A52" s="215">
        <v>29</v>
      </c>
      <c r="B52" s="205"/>
      <c r="C52" s="205"/>
      <c r="D52" s="216"/>
      <c r="E52" s="15"/>
      <c r="F52" s="215">
        <v>69</v>
      </c>
      <c r="G52" s="205"/>
      <c r="H52" s="205"/>
      <c r="I52" s="216"/>
    </row>
    <row r="53" spans="1:9">
      <c r="A53" s="215">
        <v>30</v>
      </c>
      <c r="B53" s="205"/>
      <c r="C53" s="205"/>
      <c r="D53" s="216"/>
      <c r="E53" s="15"/>
      <c r="F53" s="215">
        <v>70</v>
      </c>
      <c r="G53" s="205"/>
      <c r="H53" s="205"/>
      <c r="I53" s="216"/>
    </row>
    <row r="54" spans="1:9">
      <c r="A54" s="215">
        <v>31</v>
      </c>
      <c r="B54" s="205"/>
      <c r="C54" s="205"/>
      <c r="D54" s="216"/>
      <c r="E54" s="15"/>
      <c r="F54" s="212">
        <v>71</v>
      </c>
      <c r="G54" s="205"/>
      <c r="H54" s="205"/>
      <c r="I54" s="216"/>
    </row>
    <row r="55" spans="1:9">
      <c r="A55" s="215">
        <v>32</v>
      </c>
      <c r="B55" s="205"/>
      <c r="C55" s="205"/>
      <c r="D55" s="216"/>
      <c r="E55" s="15"/>
      <c r="F55" s="215">
        <v>72</v>
      </c>
      <c r="G55" s="205"/>
      <c r="H55" s="205"/>
      <c r="I55" s="216"/>
    </row>
    <row r="56" spans="1:9">
      <c r="A56" s="215">
        <v>33</v>
      </c>
      <c r="B56" s="205"/>
      <c r="C56" s="205"/>
      <c r="D56" s="216"/>
      <c r="E56" s="15"/>
      <c r="F56" s="215">
        <v>73</v>
      </c>
      <c r="G56" s="205"/>
      <c r="H56" s="205"/>
      <c r="I56" s="216"/>
    </row>
    <row r="57" spans="1:9">
      <c r="A57" s="215">
        <v>34</v>
      </c>
      <c r="B57" s="205"/>
      <c r="C57" s="205"/>
      <c r="D57" s="216"/>
      <c r="E57" s="15"/>
      <c r="F57" s="212">
        <v>74</v>
      </c>
      <c r="G57" s="205"/>
      <c r="H57" s="205"/>
      <c r="I57" s="216"/>
    </row>
    <row r="58" spans="1:9">
      <c r="A58" s="215">
        <v>35</v>
      </c>
      <c r="B58" s="205"/>
      <c r="C58" s="205"/>
      <c r="D58" s="216"/>
      <c r="E58" s="15"/>
      <c r="F58" s="215">
        <v>75</v>
      </c>
      <c r="G58" s="205"/>
      <c r="H58" s="205"/>
      <c r="I58" s="216"/>
    </row>
    <row r="59" spans="1:9">
      <c r="A59" s="215">
        <v>36</v>
      </c>
      <c r="B59" s="205"/>
      <c r="C59" s="205"/>
      <c r="D59" s="216"/>
      <c r="E59" s="15"/>
      <c r="F59" s="215">
        <v>76</v>
      </c>
      <c r="G59" s="205"/>
      <c r="H59" s="205"/>
      <c r="I59" s="216"/>
    </row>
    <row r="60" spans="1:9">
      <c r="A60" s="215">
        <v>37</v>
      </c>
      <c r="B60" s="205"/>
      <c r="C60" s="205"/>
      <c r="D60" s="216"/>
      <c r="E60" s="15"/>
      <c r="F60" s="212">
        <v>77</v>
      </c>
      <c r="G60" s="205"/>
      <c r="H60" s="205"/>
      <c r="I60" s="216"/>
    </row>
    <row r="61" spans="1:9">
      <c r="A61" s="215">
        <v>38</v>
      </c>
      <c r="B61" s="205"/>
      <c r="C61" s="205"/>
      <c r="D61" s="216"/>
      <c r="E61" s="15"/>
      <c r="F61" s="215">
        <v>78</v>
      </c>
      <c r="G61" s="205"/>
      <c r="H61" s="205"/>
      <c r="I61" s="216"/>
    </row>
    <row r="62" spans="1:9">
      <c r="A62" s="215">
        <v>39</v>
      </c>
      <c r="B62" s="205"/>
      <c r="C62" s="205"/>
      <c r="D62" s="216"/>
      <c r="E62" s="15"/>
      <c r="F62" s="215">
        <v>79</v>
      </c>
      <c r="G62" s="205"/>
      <c r="H62" s="205"/>
      <c r="I62" s="216"/>
    </row>
    <row r="63" spans="1:9" ht="16.2" thickBot="1">
      <c r="A63" s="217">
        <v>40</v>
      </c>
      <c r="B63" s="218"/>
      <c r="C63" s="218"/>
      <c r="D63" s="219"/>
      <c r="E63" s="15"/>
      <c r="F63" s="238">
        <v>80</v>
      </c>
      <c r="G63" s="218"/>
      <c r="H63" s="218"/>
      <c r="I63" s="219"/>
    </row>
    <row r="64" spans="1:9">
      <c r="A64" s="15"/>
      <c r="B64" s="15"/>
      <c r="C64" s="15"/>
      <c r="D64" s="15"/>
      <c r="E64" s="15"/>
      <c r="F64" s="15"/>
      <c r="G64" s="15"/>
      <c r="H64" s="15"/>
      <c r="I64" s="15"/>
    </row>
    <row r="65" spans="1:3">
      <c r="A65" s="3" t="s">
        <v>134</v>
      </c>
    </row>
    <row r="68" spans="1:3">
      <c r="A68" s="223" t="s">
        <v>135</v>
      </c>
      <c r="B68" s="10"/>
      <c r="C68" s="10"/>
    </row>
    <row r="69" spans="1:3">
      <c r="A69" s="3" t="s">
        <v>155</v>
      </c>
    </row>
  </sheetData>
  <mergeCells count="6">
    <mergeCell ref="A16:B16"/>
    <mergeCell ref="A1:I1"/>
    <mergeCell ref="A2:I3"/>
    <mergeCell ref="G4:H4"/>
    <mergeCell ref="E6:F6"/>
    <mergeCell ref="E7:F7"/>
  </mergeCells>
  <phoneticPr fontId="6" type="noConversion"/>
  <printOptions horizontalCentered="1"/>
  <pageMargins left="0.75000000000000011" right="0.75000000000000011" top="1" bottom="1" header="0.5" footer="0.5"/>
  <pageSetup paperSize="5" scale="78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J83"/>
  <sheetViews>
    <sheetView view="pageLayout" workbookViewId="0">
      <selection activeCell="J11" sqref="J11"/>
    </sheetView>
  </sheetViews>
  <sheetFormatPr defaultColWidth="11.19921875" defaultRowHeight="15.6"/>
  <cols>
    <col min="10" max="10" width="10.796875" customWidth="1"/>
  </cols>
  <sheetData>
    <row r="1" spans="1:10">
      <c r="A1" s="394" t="s">
        <v>156</v>
      </c>
      <c r="B1" s="394"/>
      <c r="C1" s="394"/>
      <c r="D1" s="394"/>
      <c r="E1" s="394"/>
      <c r="F1" s="394"/>
      <c r="G1" s="394"/>
      <c r="H1" s="394"/>
      <c r="I1" s="394"/>
      <c r="J1" s="220"/>
    </row>
    <row r="2" spans="1:10" ht="18">
      <c r="A2" s="391" t="s">
        <v>148</v>
      </c>
      <c r="B2" s="391"/>
      <c r="C2" s="391"/>
      <c r="D2" s="391"/>
      <c r="E2" s="391"/>
      <c r="F2" s="391"/>
      <c r="G2" s="391"/>
      <c r="H2" s="391"/>
      <c r="I2" s="391"/>
      <c r="J2" s="221"/>
    </row>
    <row r="3" spans="1:10" ht="18">
      <c r="A3" s="391"/>
      <c r="B3" s="391"/>
      <c r="C3" s="391"/>
      <c r="D3" s="391"/>
      <c r="E3" s="391"/>
      <c r="F3" s="391"/>
      <c r="G3" s="391"/>
      <c r="H3" s="391"/>
      <c r="I3" s="391"/>
      <c r="J3" s="221"/>
    </row>
    <row r="4" spans="1:10">
      <c r="A4" s="32"/>
      <c r="B4" s="32"/>
      <c r="C4" s="32"/>
      <c r="D4" s="32"/>
      <c r="E4" s="32"/>
      <c r="F4" s="32"/>
      <c r="G4" s="396" t="s">
        <v>157</v>
      </c>
      <c r="H4" s="396"/>
      <c r="I4" s="69"/>
      <c r="J4" s="32"/>
    </row>
    <row r="5" spans="1:10">
      <c r="A5" s="95" t="s">
        <v>126</v>
      </c>
      <c r="B5" s="95"/>
      <c r="C5" s="32"/>
      <c r="D5" s="32"/>
      <c r="E5" s="32"/>
      <c r="F5" s="32"/>
      <c r="G5" s="32"/>
      <c r="H5" s="32"/>
      <c r="I5" s="32"/>
      <c r="J5" s="32"/>
    </row>
    <row r="6" spans="1:10" ht="16.2" thickBot="1">
      <c r="A6" s="32"/>
      <c r="B6" s="32"/>
      <c r="C6" s="32"/>
      <c r="D6" s="32"/>
      <c r="E6" s="32"/>
      <c r="F6" s="32"/>
      <c r="G6" s="32"/>
      <c r="H6" s="32"/>
      <c r="I6" s="32"/>
      <c r="J6" s="32"/>
    </row>
    <row r="7" spans="1:10" ht="16.2" thickBot="1">
      <c r="A7" s="224" t="s">
        <v>12</v>
      </c>
      <c r="B7" s="225" t="s">
        <v>127</v>
      </c>
      <c r="C7" s="225" t="s">
        <v>128</v>
      </c>
      <c r="D7" s="226" t="s">
        <v>129</v>
      </c>
      <c r="E7" s="96"/>
      <c r="F7" s="224" t="s">
        <v>12</v>
      </c>
      <c r="G7" s="225" t="s">
        <v>127</v>
      </c>
      <c r="H7" s="225" t="s">
        <v>128</v>
      </c>
      <c r="I7" s="226" t="s">
        <v>129</v>
      </c>
      <c r="J7" s="32"/>
    </row>
    <row r="8" spans="1:10">
      <c r="A8" s="229">
        <v>81</v>
      </c>
      <c r="B8" s="230"/>
      <c r="C8" s="230"/>
      <c r="D8" s="231"/>
      <c r="E8" s="96"/>
      <c r="F8" s="229">
        <v>151</v>
      </c>
      <c r="G8" s="230"/>
      <c r="H8" s="230"/>
      <c r="I8" s="231"/>
      <c r="J8" s="32"/>
    </row>
    <row r="9" spans="1:10">
      <c r="A9" s="232">
        <v>82</v>
      </c>
      <c r="B9" s="227"/>
      <c r="C9" s="227"/>
      <c r="D9" s="233"/>
      <c r="E9" s="96"/>
      <c r="F9" s="232">
        <v>152</v>
      </c>
      <c r="G9" s="227"/>
      <c r="H9" s="227"/>
      <c r="I9" s="233"/>
      <c r="J9" s="32"/>
    </row>
    <row r="10" spans="1:10">
      <c r="A10" s="232">
        <v>83</v>
      </c>
      <c r="B10" s="227"/>
      <c r="C10" s="227"/>
      <c r="D10" s="233"/>
      <c r="E10" s="96"/>
      <c r="F10" s="232">
        <v>153</v>
      </c>
      <c r="G10" s="227"/>
      <c r="H10" s="227"/>
      <c r="I10" s="233"/>
      <c r="J10" s="32"/>
    </row>
    <row r="11" spans="1:10">
      <c r="A11" s="232">
        <v>84</v>
      </c>
      <c r="B11" s="227"/>
      <c r="C11" s="227"/>
      <c r="D11" s="233"/>
      <c r="E11" s="96"/>
      <c r="F11" s="232">
        <v>154</v>
      </c>
      <c r="G11" s="227"/>
      <c r="H11" s="227"/>
      <c r="I11" s="233"/>
      <c r="J11" s="32"/>
    </row>
    <row r="12" spans="1:10">
      <c r="A12" s="232">
        <v>85</v>
      </c>
      <c r="B12" s="227"/>
      <c r="C12" s="227"/>
      <c r="D12" s="233"/>
      <c r="E12" s="96"/>
      <c r="F12" s="232">
        <v>155</v>
      </c>
      <c r="G12" s="227"/>
      <c r="H12" s="227"/>
      <c r="I12" s="233"/>
      <c r="J12" s="32"/>
    </row>
    <row r="13" spans="1:10">
      <c r="A13" s="232">
        <v>86</v>
      </c>
      <c r="B13" s="227"/>
      <c r="C13" s="227"/>
      <c r="D13" s="233"/>
      <c r="E13" s="96"/>
      <c r="F13" s="232">
        <v>156</v>
      </c>
      <c r="G13" s="227"/>
      <c r="H13" s="227"/>
      <c r="I13" s="233"/>
      <c r="J13" s="32"/>
    </row>
    <row r="14" spans="1:10">
      <c r="A14" s="232">
        <v>87</v>
      </c>
      <c r="B14" s="227"/>
      <c r="C14" s="227"/>
      <c r="D14" s="233"/>
      <c r="E14" s="96"/>
      <c r="F14" s="232">
        <v>157</v>
      </c>
      <c r="G14" s="227"/>
      <c r="H14" s="227"/>
      <c r="I14" s="233"/>
      <c r="J14" s="32"/>
    </row>
    <row r="15" spans="1:10">
      <c r="A15" s="232">
        <v>88</v>
      </c>
      <c r="B15" s="227"/>
      <c r="C15" s="227"/>
      <c r="D15" s="233"/>
      <c r="E15" s="96"/>
      <c r="F15" s="232">
        <v>158</v>
      </c>
      <c r="G15" s="227"/>
      <c r="H15" s="227"/>
      <c r="I15" s="233"/>
      <c r="J15" s="32"/>
    </row>
    <row r="16" spans="1:10">
      <c r="A16" s="232">
        <v>89</v>
      </c>
      <c r="B16" s="227"/>
      <c r="C16" s="227"/>
      <c r="D16" s="233"/>
      <c r="E16" s="96"/>
      <c r="F16" s="232">
        <v>159</v>
      </c>
      <c r="G16" s="227"/>
      <c r="H16" s="227"/>
      <c r="I16" s="233"/>
      <c r="J16" s="32"/>
    </row>
    <row r="17" spans="1:10">
      <c r="A17" s="232">
        <v>90</v>
      </c>
      <c r="B17" s="227"/>
      <c r="C17" s="227"/>
      <c r="D17" s="233"/>
      <c r="E17" s="96"/>
      <c r="F17" s="232">
        <v>160</v>
      </c>
      <c r="G17" s="227"/>
      <c r="H17" s="227"/>
      <c r="I17" s="233"/>
      <c r="J17" s="32"/>
    </row>
    <row r="18" spans="1:10">
      <c r="A18" s="232">
        <v>91</v>
      </c>
      <c r="B18" s="227"/>
      <c r="C18" s="227"/>
      <c r="D18" s="233"/>
      <c r="E18" s="96"/>
      <c r="F18" s="232">
        <v>161</v>
      </c>
      <c r="G18" s="227"/>
      <c r="H18" s="227"/>
      <c r="I18" s="233"/>
      <c r="J18" s="32"/>
    </row>
    <row r="19" spans="1:10">
      <c r="A19" s="232">
        <v>92</v>
      </c>
      <c r="B19" s="227"/>
      <c r="C19" s="227"/>
      <c r="D19" s="233"/>
      <c r="E19" s="96"/>
      <c r="F19" s="232">
        <v>162</v>
      </c>
      <c r="G19" s="227"/>
      <c r="H19" s="227"/>
      <c r="I19" s="233"/>
      <c r="J19" s="32"/>
    </row>
    <row r="20" spans="1:10">
      <c r="A20" s="232">
        <v>93</v>
      </c>
      <c r="B20" s="227"/>
      <c r="C20" s="227"/>
      <c r="D20" s="233"/>
      <c r="E20" s="96"/>
      <c r="F20" s="232">
        <v>163</v>
      </c>
      <c r="G20" s="227"/>
      <c r="H20" s="227"/>
      <c r="I20" s="233"/>
      <c r="J20" s="32"/>
    </row>
    <row r="21" spans="1:10">
      <c r="A21" s="232">
        <v>94</v>
      </c>
      <c r="B21" s="227"/>
      <c r="C21" s="227"/>
      <c r="D21" s="233"/>
      <c r="E21" s="96"/>
      <c r="F21" s="232">
        <v>164</v>
      </c>
      <c r="G21" s="227"/>
      <c r="H21" s="227"/>
      <c r="I21" s="233"/>
      <c r="J21" s="32"/>
    </row>
    <row r="22" spans="1:10">
      <c r="A22" s="232">
        <v>95</v>
      </c>
      <c r="B22" s="227"/>
      <c r="C22" s="227"/>
      <c r="D22" s="233"/>
      <c r="E22" s="96"/>
      <c r="F22" s="232">
        <v>165</v>
      </c>
      <c r="G22" s="227"/>
      <c r="H22" s="227"/>
      <c r="I22" s="233"/>
      <c r="J22" s="32"/>
    </row>
    <row r="23" spans="1:10">
      <c r="A23" s="232">
        <v>96</v>
      </c>
      <c r="B23" s="227"/>
      <c r="C23" s="227"/>
      <c r="D23" s="233"/>
      <c r="E23" s="96"/>
      <c r="F23" s="232">
        <v>166</v>
      </c>
      <c r="G23" s="227"/>
      <c r="H23" s="227"/>
      <c r="I23" s="233"/>
      <c r="J23" s="32"/>
    </row>
    <row r="24" spans="1:10">
      <c r="A24" s="232">
        <v>97</v>
      </c>
      <c r="B24" s="227"/>
      <c r="C24" s="227"/>
      <c r="D24" s="233"/>
      <c r="E24" s="96"/>
      <c r="F24" s="232">
        <v>167</v>
      </c>
      <c r="G24" s="227"/>
      <c r="H24" s="227"/>
      <c r="I24" s="233"/>
      <c r="J24" s="32"/>
    </row>
    <row r="25" spans="1:10">
      <c r="A25" s="232">
        <v>98</v>
      </c>
      <c r="B25" s="227"/>
      <c r="C25" s="227"/>
      <c r="D25" s="233"/>
      <c r="E25" s="96"/>
      <c r="F25" s="232">
        <v>168</v>
      </c>
      <c r="G25" s="227"/>
      <c r="H25" s="227"/>
      <c r="I25" s="233"/>
      <c r="J25" s="32"/>
    </row>
    <row r="26" spans="1:10">
      <c r="A26" s="232">
        <v>99</v>
      </c>
      <c r="B26" s="227"/>
      <c r="C26" s="227"/>
      <c r="D26" s="233"/>
      <c r="E26" s="96"/>
      <c r="F26" s="232">
        <v>169</v>
      </c>
      <c r="G26" s="227"/>
      <c r="H26" s="227"/>
      <c r="I26" s="233"/>
      <c r="J26" s="32"/>
    </row>
    <row r="27" spans="1:10">
      <c r="A27" s="232">
        <v>100</v>
      </c>
      <c r="B27" s="227"/>
      <c r="C27" s="227"/>
      <c r="D27" s="233"/>
      <c r="E27" s="96"/>
      <c r="F27" s="232">
        <v>170</v>
      </c>
      <c r="G27" s="227"/>
      <c r="H27" s="227"/>
      <c r="I27" s="233"/>
      <c r="J27" s="32"/>
    </row>
    <row r="28" spans="1:10">
      <c r="A28" s="232">
        <v>101</v>
      </c>
      <c r="B28" s="227"/>
      <c r="C28" s="227"/>
      <c r="D28" s="233"/>
      <c r="E28" s="96"/>
      <c r="F28" s="232">
        <v>171</v>
      </c>
      <c r="G28" s="227"/>
      <c r="H28" s="227"/>
      <c r="I28" s="233"/>
      <c r="J28" s="32"/>
    </row>
    <row r="29" spans="1:10">
      <c r="A29" s="232">
        <v>102</v>
      </c>
      <c r="B29" s="227"/>
      <c r="C29" s="227"/>
      <c r="D29" s="233"/>
      <c r="E29" s="96"/>
      <c r="F29" s="232">
        <v>172</v>
      </c>
      <c r="G29" s="227"/>
      <c r="H29" s="227"/>
      <c r="I29" s="233"/>
      <c r="J29" s="32"/>
    </row>
    <row r="30" spans="1:10">
      <c r="A30" s="232">
        <v>103</v>
      </c>
      <c r="B30" s="227"/>
      <c r="C30" s="227"/>
      <c r="D30" s="233"/>
      <c r="E30" s="96"/>
      <c r="F30" s="232">
        <v>173</v>
      </c>
      <c r="G30" s="227"/>
      <c r="H30" s="227"/>
      <c r="I30" s="233"/>
      <c r="J30" s="32"/>
    </row>
    <row r="31" spans="1:10">
      <c r="A31" s="232">
        <v>104</v>
      </c>
      <c r="B31" s="227"/>
      <c r="C31" s="227"/>
      <c r="D31" s="233"/>
      <c r="E31" s="96"/>
      <c r="F31" s="232">
        <v>174</v>
      </c>
      <c r="G31" s="227"/>
      <c r="H31" s="227"/>
      <c r="I31" s="233"/>
      <c r="J31" s="32"/>
    </row>
    <row r="32" spans="1:10">
      <c r="A32" s="232">
        <v>105</v>
      </c>
      <c r="B32" s="227"/>
      <c r="C32" s="227"/>
      <c r="D32" s="233"/>
      <c r="E32" s="96"/>
      <c r="F32" s="232">
        <v>175</v>
      </c>
      <c r="G32" s="227"/>
      <c r="H32" s="227"/>
      <c r="I32" s="233"/>
      <c r="J32" s="32"/>
    </row>
    <row r="33" spans="1:10">
      <c r="A33" s="232">
        <v>106</v>
      </c>
      <c r="B33" s="227"/>
      <c r="C33" s="227"/>
      <c r="D33" s="233"/>
      <c r="E33" s="96"/>
      <c r="F33" s="232">
        <v>176</v>
      </c>
      <c r="G33" s="227"/>
      <c r="H33" s="227"/>
      <c r="I33" s="233"/>
      <c r="J33" s="32"/>
    </row>
    <row r="34" spans="1:10">
      <c r="A34" s="232">
        <v>107</v>
      </c>
      <c r="B34" s="227"/>
      <c r="C34" s="227"/>
      <c r="D34" s="233"/>
      <c r="E34" s="96"/>
      <c r="F34" s="232">
        <v>177</v>
      </c>
      <c r="G34" s="227"/>
      <c r="H34" s="227"/>
      <c r="I34" s="233"/>
      <c r="J34" s="32"/>
    </row>
    <row r="35" spans="1:10">
      <c r="A35" s="232">
        <v>108</v>
      </c>
      <c r="B35" s="227"/>
      <c r="C35" s="227"/>
      <c r="D35" s="233"/>
      <c r="E35" s="96"/>
      <c r="F35" s="232">
        <v>178</v>
      </c>
      <c r="G35" s="227"/>
      <c r="H35" s="227"/>
      <c r="I35" s="233"/>
      <c r="J35" s="32"/>
    </row>
    <row r="36" spans="1:10">
      <c r="A36" s="232">
        <v>109</v>
      </c>
      <c r="B36" s="227"/>
      <c r="C36" s="227"/>
      <c r="D36" s="233"/>
      <c r="E36" s="96"/>
      <c r="F36" s="232">
        <v>179</v>
      </c>
      <c r="G36" s="227"/>
      <c r="H36" s="227"/>
      <c r="I36" s="233"/>
      <c r="J36" s="32"/>
    </row>
    <row r="37" spans="1:10">
      <c r="A37" s="232">
        <v>110</v>
      </c>
      <c r="B37" s="227"/>
      <c r="C37" s="227"/>
      <c r="D37" s="233"/>
      <c r="E37" s="96"/>
      <c r="F37" s="232">
        <v>180</v>
      </c>
      <c r="G37" s="227"/>
      <c r="H37" s="227"/>
      <c r="I37" s="233"/>
      <c r="J37" s="32"/>
    </row>
    <row r="38" spans="1:10">
      <c r="A38" s="232">
        <v>111</v>
      </c>
      <c r="B38" s="227"/>
      <c r="C38" s="227"/>
      <c r="D38" s="233"/>
      <c r="E38" s="96"/>
      <c r="F38" s="232">
        <v>181</v>
      </c>
      <c r="G38" s="227"/>
      <c r="H38" s="227"/>
      <c r="I38" s="233"/>
      <c r="J38" s="32"/>
    </row>
    <row r="39" spans="1:10">
      <c r="A39" s="232">
        <v>112</v>
      </c>
      <c r="B39" s="227"/>
      <c r="C39" s="227"/>
      <c r="D39" s="233"/>
      <c r="E39" s="96"/>
      <c r="F39" s="232">
        <v>182</v>
      </c>
      <c r="G39" s="227"/>
      <c r="H39" s="227"/>
      <c r="I39" s="233"/>
      <c r="J39" s="32"/>
    </row>
    <row r="40" spans="1:10">
      <c r="A40" s="232">
        <v>113</v>
      </c>
      <c r="B40" s="227"/>
      <c r="C40" s="227"/>
      <c r="D40" s="233"/>
      <c r="E40" s="96"/>
      <c r="F40" s="232">
        <v>183</v>
      </c>
      <c r="G40" s="227"/>
      <c r="H40" s="227"/>
      <c r="I40" s="233"/>
      <c r="J40" s="32"/>
    </row>
    <row r="41" spans="1:10">
      <c r="A41" s="232">
        <v>114</v>
      </c>
      <c r="B41" s="227"/>
      <c r="C41" s="227"/>
      <c r="D41" s="233"/>
      <c r="E41" s="96"/>
      <c r="F41" s="232">
        <v>184</v>
      </c>
      <c r="G41" s="227"/>
      <c r="H41" s="227"/>
      <c r="I41" s="233"/>
      <c r="J41" s="32"/>
    </row>
    <row r="42" spans="1:10">
      <c r="A42" s="232">
        <v>115</v>
      </c>
      <c r="B42" s="227"/>
      <c r="C42" s="227"/>
      <c r="D42" s="233"/>
      <c r="E42" s="96"/>
      <c r="F42" s="232">
        <v>185</v>
      </c>
      <c r="G42" s="227"/>
      <c r="H42" s="227"/>
      <c r="I42" s="233"/>
      <c r="J42" s="32"/>
    </row>
    <row r="43" spans="1:10">
      <c r="A43" s="232">
        <v>116</v>
      </c>
      <c r="B43" s="227"/>
      <c r="C43" s="227"/>
      <c r="D43" s="233"/>
      <c r="E43" s="96"/>
      <c r="F43" s="232">
        <v>186</v>
      </c>
      <c r="G43" s="227"/>
      <c r="H43" s="227"/>
      <c r="I43" s="233"/>
      <c r="J43" s="32"/>
    </row>
    <row r="44" spans="1:10">
      <c r="A44" s="232">
        <v>117</v>
      </c>
      <c r="B44" s="227"/>
      <c r="C44" s="227"/>
      <c r="D44" s="233"/>
      <c r="E44" s="96"/>
      <c r="F44" s="232">
        <v>187</v>
      </c>
      <c r="G44" s="227"/>
      <c r="H44" s="227"/>
      <c r="I44" s="233"/>
      <c r="J44" s="32"/>
    </row>
    <row r="45" spans="1:10">
      <c r="A45" s="232">
        <v>118</v>
      </c>
      <c r="B45" s="227"/>
      <c r="C45" s="227"/>
      <c r="D45" s="233"/>
      <c r="E45" s="96"/>
      <c r="F45" s="232">
        <v>188</v>
      </c>
      <c r="G45" s="227"/>
      <c r="H45" s="227"/>
      <c r="I45" s="233"/>
      <c r="J45" s="32"/>
    </row>
    <row r="46" spans="1:10">
      <c r="A46" s="232">
        <v>119</v>
      </c>
      <c r="B46" s="227"/>
      <c r="C46" s="227"/>
      <c r="D46" s="233"/>
      <c r="E46" s="96"/>
      <c r="F46" s="232">
        <v>189</v>
      </c>
      <c r="G46" s="227"/>
      <c r="H46" s="227"/>
      <c r="I46" s="233"/>
      <c r="J46" s="32"/>
    </row>
    <row r="47" spans="1:10">
      <c r="A47" s="232">
        <v>120</v>
      </c>
      <c r="B47" s="227"/>
      <c r="C47" s="227"/>
      <c r="D47" s="233"/>
      <c r="E47" s="96"/>
      <c r="F47" s="232">
        <v>190</v>
      </c>
      <c r="G47" s="227"/>
      <c r="H47" s="227"/>
      <c r="I47" s="233"/>
      <c r="J47" s="32"/>
    </row>
    <row r="48" spans="1:10">
      <c r="A48" s="232">
        <v>121</v>
      </c>
      <c r="B48" s="227"/>
      <c r="C48" s="227"/>
      <c r="D48" s="233"/>
      <c r="E48" s="96"/>
      <c r="F48" s="232">
        <v>191</v>
      </c>
      <c r="G48" s="227"/>
      <c r="H48" s="227"/>
      <c r="I48" s="233"/>
      <c r="J48" s="32"/>
    </row>
    <row r="49" spans="1:10">
      <c r="A49" s="232">
        <v>122</v>
      </c>
      <c r="B49" s="227"/>
      <c r="C49" s="227"/>
      <c r="D49" s="233"/>
      <c r="E49" s="96"/>
      <c r="F49" s="232">
        <v>192</v>
      </c>
      <c r="G49" s="227"/>
      <c r="H49" s="227"/>
      <c r="I49" s="233"/>
      <c r="J49" s="32"/>
    </row>
    <row r="50" spans="1:10">
      <c r="A50" s="232">
        <v>123</v>
      </c>
      <c r="B50" s="227"/>
      <c r="C50" s="227"/>
      <c r="D50" s="233"/>
      <c r="E50" s="96"/>
      <c r="F50" s="232">
        <v>193</v>
      </c>
      <c r="G50" s="227"/>
      <c r="H50" s="227"/>
      <c r="I50" s="233"/>
      <c r="J50" s="32"/>
    </row>
    <row r="51" spans="1:10">
      <c r="A51" s="232">
        <v>124</v>
      </c>
      <c r="B51" s="227"/>
      <c r="C51" s="227"/>
      <c r="D51" s="233"/>
      <c r="E51" s="96"/>
      <c r="F51" s="232">
        <v>194</v>
      </c>
      <c r="G51" s="227"/>
      <c r="H51" s="227"/>
      <c r="I51" s="233"/>
      <c r="J51" s="32"/>
    </row>
    <row r="52" spans="1:10">
      <c r="A52" s="232">
        <v>125</v>
      </c>
      <c r="B52" s="227"/>
      <c r="C52" s="227"/>
      <c r="D52" s="233"/>
      <c r="E52" s="96"/>
      <c r="F52" s="232">
        <v>195</v>
      </c>
      <c r="G52" s="227"/>
      <c r="H52" s="227"/>
      <c r="I52" s="233"/>
      <c r="J52" s="32"/>
    </row>
    <row r="53" spans="1:10">
      <c r="A53" s="232">
        <v>126</v>
      </c>
      <c r="B53" s="227"/>
      <c r="C53" s="227"/>
      <c r="D53" s="233"/>
      <c r="E53" s="96"/>
      <c r="F53" s="232">
        <v>196</v>
      </c>
      <c r="G53" s="227"/>
      <c r="H53" s="227"/>
      <c r="I53" s="233"/>
      <c r="J53" s="32"/>
    </row>
    <row r="54" spans="1:10">
      <c r="A54" s="232">
        <v>127</v>
      </c>
      <c r="B54" s="227"/>
      <c r="C54" s="227"/>
      <c r="D54" s="233"/>
      <c r="E54" s="96"/>
      <c r="F54" s="232">
        <v>197</v>
      </c>
      <c r="G54" s="227"/>
      <c r="H54" s="227"/>
      <c r="I54" s="233"/>
      <c r="J54" s="32"/>
    </row>
    <row r="55" spans="1:10">
      <c r="A55" s="232">
        <v>128</v>
      </c>
      <c r="B55" s="227"/>
      <c r="C55" s="227"/>
      <c r="D55" s="233"/>
      <c r="E55" s="96"/>
      <c r="F55" s="232">
        <v>198</v>
      </c>
      <c r="G55" s="227"/>
      <c r="H55" s="227"/>
      <c r="I55" s="233"/>
      <c r="J55" s="32"/>
    </row>
    <row r="56" spans="1:10">
      <c r="A56" s="232">
        <v>129</v>
      </c>
      <c r="B56" s="227"/>
      <c r="C56" s="227"/>
      <c r="D56" s="233"/>
      <c r="E56" s="96"/>
      <c r="F56" s="232">
        <v>199</v>
      </c>
      <c r="G56" s="227"/>
      <c r="H56" s="227"/>
      <c r="I56" s="233"/>
      <c r="J56" s="32"/>
    </row>
    <row r="57" spans="1:10">
      <c r="A57" s="232">
        <v>130</v>
      </c>
      <c r="B57" s="227"/>
      <c r="C57" s="227"/>
      <c r="D57" s="233"/>
      <c r="E57" s="96"/>
      <c r="F57" s="232">
        <v>200</v>
      </c>
      <c r="G57" s="227"/>
      <c r="H57" s="227"/>
      <c r="I57" s="233"/>
      <c r="J57" s="32"/>
    </row>
    <row r="58" spans="1:10">
      <c r="A58" s="232">
        <v>131</v>
      </c>
      <c r="B58" s="227"/>
      <c r="C58" s="227"/>
      <c r="D58" s="233"/>
      <c r="F58" s="232">
        <v>201</v>
      </c>
      <c r="G58" s="228"/>
      <c r="H58" s="228"/>
      <c r="I58" s="151"/>
    </row>
    <row r="59" spans="1:10">
      <c r="A59" s="232">
        <v>132</v>
      </c>
      <c r="B59" s="227"/>
      <c r="C59" s="227"/>
      <c r="D59" s="233"/>
      <c r="F59" s="232">
        <v>202</v>
      </c>
      <c r="G59" s="228"/>
      <c r="H59" s="228"/>
      <c r="I59" s="151"/>
    </row>
    <row r="60" spans="1:10">
      <c r="A60" s="232">
        <v>133</v>
      </c>
      <c r="B60" s="227"/>
      <c r="C60" s="227"/>
      <c r="D60" s="233"/>
      <c r="F60" s="232">
        <v>203</v>
      </c>
      <c r="G60" s="228"/>
      <c r="H60" s="228"/>
      <c r="I60" s="151"/>
    </row>
    <row r="61" spans="1:10">
      <c r="A61" s="232">
        <v>134</v>
      </c>
      <c r="B61" s="227"/>
      <c r="C61" s="227"/>
      <c r="D61" s="233"/>
      <c r="F61" s="232">
        <v>204</v>
      </c>
      <c r="G61" s="228"/>
      <c r="H61" s="228"/>
      <c r="I61" s="151"/>
    </row>
    <row r="62" spans="1:10">
      <c r="A62" s="232">
        <v>135</v>
      </c>
      <c r="B62" s="227"/>
      <c r="C62" s="227"/>
      <c r="D62" s="233"/>
      <c r="F62" s="232">
        <v>205</v>
      </c>
      <c r="G62" s="228"/>
      <c r="H62" s="228"/>
      <c r="I62" s="151"/>
    </row>
    <row r="63" spans="1:10">
      <c r="A63" s="232">
        <v>136</v>
      </c>
      <c r="B63" s="227"/>
      <c r="C63" s="227"/>
      <c r="D63" s="233"/>
      <c r="F63" s="232">
        <v>206</v>
      </c>
      <c r="G63" s="228"/>
      <c r="H63" s="228"/>
      <c r="I63" s="151"/>
    </row>
    <row r="64" spans="1:10">
      <c r="A64" s="232">
        <v>137</v>
      </c>
      <c r="B64" s="227"/>
      <c r="C64" s="227"/>
      <c r="D64" s="233"/>
      <c r="F64" s="232">
        <v>207</v>
      </c>
      <c r="G64" s="228"/>
      <c r="H64" s="228"/>
      <c r="I64" s="151"/>
    </row>
    <row r="65" spans="1:9">
      <c r="A65" s="232">
        <v>138</v>
      </c>
      <c r="B65" s="227"/>
      <c r="C65" s="227"/>
      <c r="D65" s="233"/>
      <c r="F65" s="232">
        <v>208</v>
      </c>
      <c r="G65" s="228"/>
      <c r="H65" s="228"/>
      <c r="I65" s="151"/>
    </row>
    <row r="66" spans="1:9">
      <c r="A66" s="232">
        <v>139</v>
      </c>
      <c r="B66" s="227"/>
      <c r="C66" s="227"/>
      <c r="D66" s="233"/>
      <c r="F66" s="232">
        <v>209</v>
      </c>
      <c r="G66" s="228"/>
      <c r="H66" s="228"/>
      <c r="I66" s="151"/>
    </row>
    <row r="67" spans="1:9">
      <c r="A67" s="232">
        <v>140</v>
      </c>
      <c r="B67" s="227"/>
      <c r="C67" s="227"/>
      <c r="D67" s="233"/>
      <c r="F67" s="232">
        <v>210</v>
      </c>
      <c r="G67" s="228"/>
      <c r="H67" s="228"/>
      <c r="I67" s="151"/>
    </row>
    <row r="68" spans="1:9">
      <c r="A68" s="232">
        <v>141</v>
      </c>
      <c r="B68" s="227"/>
      <c r="C68" s="227"/>
      <c r="D68" s="233"/>
      <c r="F68" s="232">
        <v>211</v>
      </c>
      <c r="G68" s="228"/>
      <c r="H68" s="228"/>
      <c r="I68" s="151"/>
    </row>
    <row r="69" spans="1:9">
      <c r="A69" s="232">
        <v>142</v>
      </c>
      <c r="B69" s="227"/>
      <c r="C69" s="227"/>
      <c r="D69" s="233"/>
      <c r="F69" s="232">
        <v>212</v>
      </c>
      <c r="G69" s="228"/>
      <c r="H69" s="228"/>
      <c r="I69" s="151"/>
    </row>
    <row r="70" spans="1:9">
      <c r="A70" s="232">
        <v>143</v>
      </c>
      <c r="B70" s="227"/>
      <c r="C70" s="227"/>
      <c r="D70" s="233"/>
      <c r="F70" s="232">
        <v>213</v>
      </c>
      <c r="G70" s="228"/>
      <c r="H70" s="228"/>
      <c r="I70" s="151"/>
    </row>
    <row r="71" spans="1:9">
      <c r="A71" s="232">
        <v>144</v>
      </c>
      <c r="B71" s="227"/>
      <c r="C71" s="227"/>
      <c r="D71" s="233"/>
      <c r="F71" s="232">
        <v>214</v>
      </c>
      <c r="G71" s="228"/>
      <c r="H71" s="228"/>
      <c r="I71" s="151"/>
    </row>
    <row r="72" spans="1:9">
      <c r="A72" s="232">
        <v>145</v>
      </c>
      <c r="B72" s="227"/>
      <c r="C72" s="227"/>
      <c r="D72" s="233"/>
      <c r="F72" s="232">
        <v>215</v>
      </c>
      <c r="G72" s="228"/>
      <c r="H72" s="228"/>
      <c r="I72" s="151"/>
    </row>
    <row r="73" spans="1:9">
      <c r="A73" s="232">
        <v>146</v>
      </c>
      <c r="B73" s="227"/>
      <c r="C73" s="227"/>
      <c r="D73" s="233"/>
      <c r="F73" s="232">
        <v>216</v>
      </c>
      <c r="G73" s="228"/>
      <c r="H73" s="228"/>
      <c r="I73" s="151"/>
    </row>
    <row r="74" spans="1:9">
      <c r="A74" s="232">
        <v>147</v>
      </c>
      <c r="B74" s="227"/>
      <c r="C74" s="227"/>
      <c r="D74" s="233"/>
      <c r="F74" s="232">
        <v>217</v>
      </c>
      <c r="G74" s="228"/>
      <c r="H74" s="228"/>
      <c r="I74" s="151"/>
    </row>
    <row r="75" spans="1:9">
      <c r="A75" s="232">
        <v>148</v>
      </c>
      <c r="B75" s="227"/>
      <c r="C75" s="227"/>
      <c r="D75" s="233"/>
      <c r="F75" s="232">
        <v>218</v>
      </c>
      <c r="G75" s="228"/>
      <c r="H75" s="228"/>
      <c r="I75" s="151"/>
    </row>
    <row r="76" spans="1:9">
      <c r="A76" s="232">
        <v>149</v>
      </c>
      <c r="B76" s="227"/>
      <c r="C76" s="227"/>
      <c r="D76" s="233"/>
      <c r="F76" s="232">
        <v>219</v>
      </c>
      <c r="G76" s="228"/>
      <c r="H76" s="228"/>
      <c r="I76" s="151"/>
    </row>
    <row r="77" spans="1:9" ht="16.2" thickBot="1">
      <c r="A77" s="234">
        <v>150</v>
      </c>
      <c r="B77" s="236"/>
      <c r="C77" s="236"/>
      <c r="D77" s="237"/>
      <c r="F77" s="234">
        <v>220</v>
      </c>
      <c r="G77" s="235"/>
      <c r="H77" s="235"/>
      <c r="I77" s="153"/>
    </row>
    <row r="79" spans="1:9">
      <c r="A79" s="3" t="s">
        <v>134</v>
      </c>
    </row>
    <row r="82" spans="1:4">
      <c r="A82" s="223" t="s">
        <v>138</v>
      </c>
      <c r="B82" s="10"/>
      <c r="C82" s="10"/>
      <c r="D82" s="10"/>
    </row>
    <row r="83" spans="1:4">
      <c r="A83" s="3" t="s">
        <v>155</v>
      </c>
    </row>
  </sheetData>
  <mergeCells count="3">
    <mergeCell ref="A1:I1"/>
    <mergeCell ref="A2:I3"/>
    <mergeCell ref="G4:H4"/>
  </mergeCells>
  <phoneticPr fontId="6" type="noConversion"/>
  <printOptions horizontalCentered="1"/>
  <pageMargins left="0.75000000000000011" right="0.75000000000000011" top="1" bottom="1" header="0.5" footer="0.5"/>
  <pageSetup paperSize="5" scale="66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I40"/>
  <sheetViews>
    <sheetView view="pageLayout" topLeftCell="A5" workbookViewId="0">
      <selection sqref="A1:I1"/>
    </sheetView>
  </sheetViews>
  <sheetFormatPr defaultColWidth="11.19921875" defaultRowHeight="15.6"/>
  <sheetData>
    <row r="1" spans="1:9">
      <c r="A1" s="392" t="s">
        <v>158</v>
      </c>
      <c r="B1" s="392"/>
      <c r="C1" s="392"/>
      <c r="D1" s="392"/>
      <c r="E1" s="392"/>
      <c r="F1" s="392"/>
      <c r="G1" s="392"/>
      <c r="H1" s="392"/>
      <c r="I1" s="392"/>
    </row>
    <row r="2" spans="1:9">
      <c r="A2" s="391" t="s">
        <v>163</v>
      </c>
      <c r="B2" s="391"/>
      <c r="C2" s="391"/>
      <c r="D2" s="391"/>
      <c r="E2" s="391"/>
      <c r="F2" s="391"/>
      <c r="G2" s="391"/>
      <c r="H2" s="391"/>
      <c r="I2" s="391"/>
    </row>
    <row r="3" spans="1:9">
      <c r="A3" s="391"/>
      <c r="B3" s="391"/>
      <c r="C3" s="391"/>
      <c r="D3" s="391"/>
      <c r="E3" s="391"/>
      <c r="F3" s="391"/>
      <c r="G3" s="391"/>
      <c r="H3" s="391"/>
      <c r="I3" s="391"/>
    </row>
    <row r="4" spans="1:9">
      <c r="G4" s="298" t="s">
        <v>157</v>
      </c>
      <c r="H4" s="298"/>
      <c r="I4" s="4"/>
    </row>
    <row r="5" spans="1:9">
      <c r="A5" s="197" t="s">
        <v>109</v>
      </c>
      <c r="B5" s="10"/>
      <c r="C5" s="10"/>
      <c r="D5" s="10"/>
      <c r="E5" s="10"/>
      <c r="F5" s="10"/>
      <c r="G5" s="10"/>
      <c r="H5" s="10"/>
      <c r="I5" s="11"/>
    </row>
    <row r="6" spans="1:9">
      <c r="A6" s="12" t="s">
        <v>24</v>
      </c>
      <c r="B6" s="4"/>
      <c r="C6" s="4"/>
      <c r="D6" s="2"/>
      <c r="E6" s="393" t="s">
        <v>111</v>
      </c>
      <c r="F6" s="393"/>
      <c r="G6" s="4"/>
      <c r="H6" s="4"/>
      <c r="I6" s="13"/>
    </row>
    <row r="7" spans="1:9">
      <c r="A7" s="12" t="s">
        <v>110</v>
      </c>
      <c r="B7" s="179"/>
      <c r="C7" s="179"/>
      <c r="D7" s="2"/>
      <c r="E7" s="393" t="s">
        <v>112</v>
      </c>
      <c r="F7" s="393"/>
      <c r="G7" s="179"/>
      <c r="H7" s="179"/>
      <c r="I7" s="13"/>
    </row>
    <row r="8" spans="1:9">
      <c r="A8" s="199"/>
      <c r="B8" s="4"/>
      <c r="C8" s="4"/>
      <c r="D8" s="4"/>
      <c r="E8" s="4"/>
      <c r="F8" s="4"/>
      <c r="G8" s="201"/>
      <c r="H8" s="4"/>
      <c r="I8" s="17"/>
    </row>
    <row r="9" spans="1:9">
      <c r="A9" s="197" t="s">
        <v>113</v>
      </c>
      <c r="B9" s="10"/>
      <c r="C9" s="10"/>
      <c r="D9" s="9" t="s">
        <v>117</v>
      </c>
      <c r="E9" s="10"/>
      <c r="F9" s="10"/>
      <c r="G9" s="3" t="s">
        <v>130</v>
      </c>
      <c r="I9" s="11"/>
    </row>
    <row r="10" spans="1:9">
      <c r="A10" s="12" t="s">
        <v>114</v>
      </c>
      <c r="B10" s="198" t="s">
        <v>5</v>
      </c>
      <c r="C10" s="2"/>
      <c r="D10" s="121" t="s">
        <v>118</v>
      </c>
      <c r="E10" s="198" t="s">
        <v>5</v>
      </c>
      <c r="F10" s="2"/>
      <c r="G10" s="222" t="s">
        <v>131</v>
      </c>
      <c r="H10" s="4"/>
      <c r="I10" s="13"/>
    </row>
    <row r="11" spans="1:9">
      <c r="A11" s="12" t="s">
        <v>115</v>
      </c>
      <c r="B11" s="198" t="s">
        <v>5</v>
      </c>
      <c r="C11" s="2"/>
      <c r="D11" s="2" t="s">
        <v>119</v>
      </c>
      <c r="E11" s="198" t="s">
        <v>5</v>
      </c>
      <c r="F11" s="2"/>
      <c r="G11" s="222" t="s">
        <v>132</v>
      </c>
      <c r="H11" s="179"/>
      <c r="I11" s="17"/>
    </row>
    <row r="12" spans="1:9">
      <c r="A12" s="12" t="s">
        <v>116</v>
      </c>
      <c r="B12" s="4"/>
      <c r="C12" s="4"/>
      <c r="D12" s="2" t="s">
        <v>120</v>
      </c>
      <c r="E12" s="4"/>
      <c r="F12" s="4"/>
      <c r="G12" s="222" t="s">
        <v>133</v>
      </c>
      <c r="H12" s="179"/>
      <c r="I12" s="200"/>
    </row>
    <row r="13" spans="1:9">
      <c r="A13" s="199"/>
      <c r="B13" s="4"/>
      <c r="C13" s="4"/>
      <c r="D13" s="4"/>
      <c r="E13" s="4"/>
      <c r="F13" s="4"/>
      <c r="G13" s="4"/>
      <c r="H13" s="4"/>
      <c r="I13" s="17"/>
    </row>
    <row r="14" spans="1:9">
      <c r="A14" s="202" t="s">
        <v>149</v>
      </c>
      <c r="B14" s="10"/>
      <c r="C14" s="10"/>
      <c r="D14" s="10"/>
      <c r="E14" s="10"/>
      <c r="F14" s="10"/>
      <c r="G14" s="10"/>
      <c r="H14" s="10"/>
      <c r="I14" s="11"/>
    </row>
    <row r="15" spans="1:9">
      <c r="A15" s="12"/>
      <c r="B15" s="2"/>
      <c r="C15" s="2"/>
      <c r="D15" s="2"/>
      <c r="E15" s="2"/>
      <c r="F15" s="2"/>
      <c r="G15" s="2"/>
      <c r="H15" s="2"/>
      <c r="I15" s="13"/>
    </row>
    <row r="16" spans="1:9">
      <c r="A16" s="399" t="s">
        <v>150</v>
      </c>
      <c r="B16" s="300"/>
      <c r="C16" s="21"/>
      <c r="D16" s="239"/>
      <c r="E16" s="240"/>
      <c r="F16" s="4"/>
      <c r="G16" s="239"/>
      <c r="H16" s="4"/>
      <c r="I16" s="13"/>
    </row>
    <row r="17" spans="1:9">
      <c r="A17" s="12"/>
      <c r="B17" s="45" t="s">
        <v>151</v>
      </c>
      <c r="C17" s="243"/>
      <c r="D17" s="179"/>
      <c r="E17" s="2"/>
      <c r="F17" s="241" t="s">
        <v>153</v>
      </c>
      <c r="G17" s="243"/>
      <c r="H17" s="179"/>
      <c r="I17" s="13"/>
    </row>
    <row r="18" spans="1:9" ht="15" customHeight="1">
      <c r="A18" s="12"/>
      <c r="B18" s="114" t="s">
        <v>152</v>
      </c>
      <c r="C18" s="243"/>
      <c r="D18" s="179"/>
      <c r="E18" s="2"/>
      <c r="F18" s="242" t="s">
        <v>154</v>
      </c>
      <c r="G18" s="243"/>
      <c r="H18" s="179"/>
      <c r="I18" s="13"/>
    </row>
    <row r="19" spans="1:9">
      <c r="A19" s="199"/>
      <c r="B19" s="4"/>
      <c r="C19" s="4"/>
      <c r="D19" s="4"/>
      <c r="E19" s="4"/>
      <c r="F19" s="4"/>
      <c r="G19" s="4"/>
      <c r="H19" s="4"/>
      <c r="I19" s="17"/>
    </row>
    <row r="21" spans="1:9" ht="15" customHeight="1">
      <c r="A21" s="8" t="s">
        <v>162</v>
      </c>
      <c r="B21" s="10"/>
      <c r="C21" s="10"/>
      <c r="D21" s="10"/>
      <c r="E21" s="10"/>
      <c r="F21" s="10"/>
      <c r="G21" s="10"/>
      <c r="H21" s="10"/>
      <c r="I21" s="11"/>
    </row>
    <row r="22" spans="1:9" ht="18" customHeight="1">
      <c r="A22" s="12"/>
      <c r="B22" s="2"/>
      <c r="C22" s="2"/>
      <c r="D22" s="2"/>
      <c r="E22" s="2"/>
      <c r="F22" s="2"/>
      <c r="G22" s="2"/>
      <c r="H22" s="2"/>
      <c r="I22" s="13"/>
    </row>
    <row r="23" spans="1:9" ht="18" customHeight="1">
      <c r="A23" s="400" t="s">
        <v>159</v>
      </c>
      <c r="B23" s="398"/>
      <c r="C23" s="14" t="s">
        <v>5</v>
      </c>
      <c r="D23" s="398" t="s">
        <v>160</v>
      </c>
      <c r="E23" s="398"/>
      <c r="F23" s="14" t="s">
        <v>5</v>
      </c>
      <c r="G23" s="398" t="s">
        <v>161</v>
      </c>
      <c r="H23" s="398"/>
      <c r="I23" s="16" t="s">
        <v>5</v>
      </c>
    </row>
    <row r="24" spans="1:9" ht="18" customHeight="1">
      <c r="A24" s="199"/>
      <c r="B24" s="4"/>
      <c r="C24" s="4"/>
      <c r="D24" s="4"/>
      <c r="E24" s="4"/>
      <c r="F24" s="4"/>
      <c r="G24" s="4"/>
      <c r="H24" s="4"/>
      <c r="I24" s="17"/>
    </row>
    <row r="25" spans="1:9" ht="18" customHeight="1">
      <c r="A25" s="2"/>
      <c r="B25" s="2"/>
      <c r="C25" s="2"/>
      <c r="D25" s="2"/>
      <c r="E25" s="2"/>
      <c r="F25" s="2"/>
      <c r="G25" s="2"/>
      <c r="H25" s="2"/>
      <c r="I25" s="2"/>
    </row>
    <row r="26" spans="1:9">
      <c r="A26" s="18" t="s">
        <v>126</v>
      </c>
      <c r="B26" s="10"/>
      <c r="C26" s="10"/>
      <c r="D26" s="10"/>
      <c r="E26" s="10"/>
      <c r="F26" s="10"/>
      <c r="G26" s="10"/>
      <c r="H26" s="10"/>
      <c r="I26" s="11"/>
    </row>
    <row r="27" spans="1:9">
      <c r="A27" s="12"/>
      <c r="B27" s="2"/>
      <c r="C27" s="2"/>
      <c r="D27" s="2"/>
      <c r="E27" s="2"/>
      <c r="F27" s="2"/>
      <c r="G27" s="2"/>
      <c r="H27" s="2"/>
      <c r="I27" s="13"/>
    </row>
    <row r="28" spans="1:9">
      <c r="A28" s="12"/>
      <c r="B28" s="397" t="s">
        <v>143</v>
      </c>
      <c r="C28" s="397"/>
      <c r="D28" s="4"/>
      <c r="E28" s="4"/>
      <c r="F28" s="2"/>
      <c r="G28" s="2"/>
      <c r="H28" s="2"/>
      <c r="I28" s="13"/>
    </row>
    <row r="29" spans="1:9">
      <c r="A29" s="12"/>
      <c r="B29" s="397" t="s">
        <v>144</v>
      </c>
      <c r="C29" s="397"/>
      <c r="D29" s="4"/>
      <c r="E29" s="4"/>
      <c r="F29" s="2"/>
      <c r="G29" s="2"/>
      <c r="H29" s="2"/>
      <c r="I29" s="13"/>
    </row>
    <row r="30" spans="1:9">
      <c r="A30" s="12"/>
      <c r="B30" s="397" t="s">
        <v>145</v>
      </c>
      <c r="C30" s="397"/>
      <c r="D30" s="4"/>
      <c r="E30" s="4"/>
      <c r="F30" s="2"/>
      <c r="G30" s="2"/>
      <c r="H30" s="2"/>
      <c r="I30" s="13"/>
    </row>
    <row r="31" spans="1:9">
      <c r="A31" s="12"/>
      <c r="B31" s="397" t="s">
        <v>146</v>
      </c>
      <c r="C31" s="397"/>
      <c r="D31" s="4"/>
      <c r="E31" s="4"/>
      <c r="F31" s="2"/>
      <c r="G31" s="2"/>
      <c r="H31" s="2"/>
      <c r="I31" s="13"/>
    </row>
    <row r="32" spans="1:9">
      <c r="A32" s="199"/>
      <c r="B32" s="4"/>
      <c r="C32" s="4"/>
      <c r="D32" s="4"/>
      <c r="E32" s="4"/>
      <c r="F32" s="4"/>
      <c r="G32" s="4"/>
      <c r="H32" s="4"/>
      <c r="I32" s="17"/>
    </row>
    <row r="34" spans="1:4">
      <c r="A34" s="3" t="s">
        <v>134</v>
      </c>
    </row>
    <row r="39" spans="1:4">
      <c r="A39" s="223" t="s">
        <v>138</v>
      </c>
      <c r="B39" s="10"/>
      <c r="C39" s="10"/>
      <c r="D39" s="10"/>
    </row>
    <row r="40" spans="1:4">
      <c r="A40" s="3" t="s">
        <v>155</v>
      </c>
    </row>
  </sheetData>
  <mergeCells count="13">
    <mergeCell ref="B28:C28"/>
    <mergeCell ref="B29:C29"/>
    <mergeCell ref="B30:C30"/>
    <mergeCell ref="B31:C31"/>
    <mergeCell ref="A23:B23"/>
    <mergeCell ref="D23:E23"/>
    <mergeCell ref="A1:I1"/>
    <mergeCell ref="A2:I3"/>
    <mergeCell ref="G4:H4"/>
    <mergeCell ref="E6:F6"/>
    <mergeCell ref="E7:F7"/>
    <mergeCell ref="G23:H23"/>
    <mergeCell ref="A16:B16"/>
  </mergeCells>
  <phoneticPr fontId="6" type="noConversion"/>
  <printOptions horizontalCentered="1"/>
  <pageMargins left="0.75000000000000011" right="0.75000000000000011" top="1" bottom="1" header="0.5" footer="0.5"/>
  <pageSetup scale="81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H41"/>
  <sheetViews>
    <sheetView view="pageLayout" workbookViewId="0">
      <selection activeCell="F19" sqref="F19:G20"/>
    </sheetView>
  </sheetViews>
  <sheetFormatPr defaultColWidth="11.19921875" defaultRowHeight="15.6"/>
  <cols>
    <col min="3" max="3" width="17" customWidth="1"/>
  </cols>
  <sheetData>
    <row r="1" spans="1:8">
      <c r="A1" s="416" t="s">
        <v>171</v>
      </c>
      <c r="B1" s="416"/>
      <c r="C1" s="416"/>
      <c r="D1" s="416"/>
      <c r="E1" s="416"/>
      <c r="F1" s="416"/>
      <c r="G1" s="416"/>
      <c r="H1" s="416"/>
    </row>
    <row r="2" spans="1:8">
      <c r="A2" s="416"/>
      <c r="B2" s="416"/>
      <c r="C2" s="416"/>
      <c r="D2" s="416"/>
      <c r="E2" s="416"/>
      <c r="F2" s="416"/>
      <c r="G2" s="416"/>
      <c r="H2" s="416"/>
    </row>
    <row r="3" spans="1:8" ht="28.8">
      <c r="A3" s="268"/>
      <c r="B3" s="268"/>
      <c r="C3" s="268"/>
      <c r="D3" s="268"/>
      <c r="E3" s="268"/>
      <c r="F3" s="268"/>
      <c r="G3" s="268"/>
    </row>
    <row r="5" spans="1:8" ht="18">
      <c r="A5" s="269" t="s">
        <v>172</v>
      </c>
      <c r="E5" s="269" t="s">
        <v>173</v>
      </c>
    </row>
    <row r="6" spans="1:8" ht="18">
      <c r="A6" s="270" t="s">
        <v>174</v>
      </c>
      <c r="B6" s="270"/>
      <c r="C6" s="32"/>
      <c r="D6" s="32"/>
      <c r="E6" s="270" t="s">
        <v>175</v>
      </c>
    </row>
    <row r="8" spans="1:8" ht="18">
      <c r="A8" s="417" t="s">
        <v>176</v>
      </c>
      <c r="B8" s="417"/>
    </row>
    <row r="9" spans="1:8" ht="18.600000000000001" thickBot="1">
      <c r="A9" s="271"/>
      <c r="B9" s="271"/>
    </row>
    <row r="10" spans="1:8" ht="16.2" thickBot="1">
      <c r="B10" s="407" t="s">
        <v>34</v>
      </c>
      <c r="C10" s="408"/>
      <c r="D10" s="211" t="s">
        <v>177</v>
      </c>
      <c r="F10" s="414" t="s">
        <v>34</v>
      </c>
      <c r="G10" s="415"/>
      <c r="H10" s="272" t="s">
        <v>177</v>
      </c>
    </row>
    <row r="11" spans="1:8">
      <c r="B11" s="418" t="s">
        <v>178</v>
      </c>
      <c r="C11" s="419"/>
      <c r="D11" s="273"/>
      <c r="F11" s="409" t="s">
        <v>179</v>
      </c>
      <c r="G11" s="403"/>
      <c r="H11" s="274"/>
    </row>
    <row r="12" spans="1:8">
      <c r="B12" s="410" t="s">
        <v>180</v>
      </c>
      <c r="C12" s="405"/>
      <c r="D12" s="151"/>
      <c r="F12" s="275" t="s">
        <v>181</v>
      </c>
      <c r="G12" s="276"/>
      <c r="H12" s="277"/>
    </row>
    <row r="13" spans="1:8">
      <c r="B13" s="410" t="s">
        <v>182</v>
      </c>
      <c r="C13" s="405"/>
      <c r="D13" s="151"/>
      <c r="F13" s="410" t="s">
        <v>183</v>
      </c>
      <c r="G13" s="405"/>
      <c r="H13" s="151"/>
    </row>
    <row r="14" spans="1:8" ht="16.2" thickBot="1">
      <c r="B14" s="411" t="s">
        <v>184</v>
      </c>
      <c r="C14" s="401"/>
      <c r="D14" s="153"/>
      <c r="F14" s="411" t="s">
        <v>185</v>
      </c>
      <c r="G14" s="401"/>
      <c r="H14" s="153"/>
    </row>
    <row r="16" spans="1:8" ht="18">
      <c r="A16" s="269" t="s">
        <v>186</v>
      </c>
    </row>
    <row r="17" spans="1:8" ht="16.2" thickBot="1"/>
    <row r="18" spans="1:8" ht="16.2" thickBot="1">
      <c r="B18" s="407" t="s">
        <v>34</v>
      </c>
      <c r="C18" s="408"/>
      <c r="D18" s="211" t="s">
        <v>177</v>
      </c>
      <c r="F18" s="414" t="s">
        <v>34</v>
      </c>
      <c r="G18" s="415"/>
      <c r="H18" s="272" t="s">
        <v>177</v>
      </c>
    </row>
    <row r="19" spans="1:8">
      <c r="B19" s="409" t="s">
        <v>178</v>
      </c>
      <c r="C19" s="403"/>
      <c r="D19" s="274"/>
      <c r="F19" s="409" t="s">
        <v>187</v>
      </c>
      <c r="G19" s="403"/>
      <c r="H19" s="274"/>
    </row>
    <row r="20" spans="1:8" ht="16.2" thickBot="1">
      <c r="B20" s="410" t="s">
        <v>188</v>
      </c>
      <c r="C20" s="405"/>
      <c r="D20" s="151"/>
      <c r="F20" s="411" t="s">
        <v>183</v>
      </c>
      <c r="G20" s="401"/>
      <c r="H20" s="153"/>
    </row>
    <row r="21" spans="1:8">
      <c r="B21" s="410" t="s">
        <v>189</v>
      </c>
      <c r="C21" s="405"/>
      <c r="D21" s="151"/>
    </row>
    <row r="22" spans="1:8" ht="16.2" thickBot="1">
      <c r="B22" s="411" t="s">
        <v>190</v>
      </c>
      <c r="C22" s="401"/>
      <c r="D22" s="153"/>
    </row>
    <row r="24" spans="1:8" ht="18">
      <c r="A24" s="269" t="s">
        <v>191</v>
      </c>
    </row>
    <row r="25" spans="1:8" ht="16.2" thickBot="1"/>
    <row r="26" spans="1:8" ht="16.2" thickBot="1">
      <c r="B26" s="407" t="s">
        <v>34</v>
      </c>
      <c r="C26" s="408"/>
      <c r="D26" s="211" t="s">
        <v>177</v>
      </c>
    </row>
    <row r="27" spans="1:8">
      <c r="B27" s="409" t="s">
        <v>192</v>
      </c>
      <c r="C27" s="403"/>
      <c r="D27" s="274"/>
    </row>
    <row r="28" spans="1:8">
      <c r="B28" s="410" t="s">
        <v>193</v>
      </c>
      <c r="C28" s="405"/>
      <c r="D28" s="151"/>
    </row>
    <row r="29" spans="1:8">
      <c r="B29" s="410" t="s">
        <v>194</v>
      </c>
      <c r="C29" s="405"/>
      <c r="D29" s="151"/>
    </row>
    <row r="30" spans="1:8" ht="16.2" thickBot="1">
      <c r="B30" s="411" t="s">
        <v>195</v>
      </c>
      <c r="C30" s="401"/>
      <c r="D30" s="153"/>
    </row>
    <row r="32" spans="1:8" ht="18">
      <c r="A32" s="269" t="s">
        <v>196</v>
      </c>
    </row>
    <row r="33" spans="2:7" ht="16.2" thickBot="1"/>
    <row r="34" spans="2:7" ht="18.600000000000001" thickBot="1">
      <c r="B34" s="278" t="s">
        <v>12</v>
      </c>
      <c r="C34" s="412" t="s">
        <v>34</v>
      </c>
      <c r="D34" s="412"/>
      <c r="E34" s="412"/>
      <c r="F34" s="412"/>
      <c r="G34" s="413"/>
    </row>
    <row r="35" spans="2:7">
      <c r="B35" s="33"/>
      <c r="C35" s="403"/>
      <c r="D35" s="403"/>
      <c r="E35" s="403"/>
      <c r="F35" s="403"/>
      <c r="G35" s="404"/>
    </row>
    <row r="36" spans="2:7">
      <c r="B36" s="24"/>
      <c r="C36" s="405"/>
      <c r="D36" s="405"/>
      <c r="E36" s="405"/>
      <c r="F36" s="405"/>
      <c r="G36" s="406"/>
    </row>
    <row r="37" spans="2:7">
      <c r="B37" s="24"/>
      <c r="C37" s="405"/>
      <c r="D37" s="405"/>
      <c r="E37" s="405"/>
      <c r="F37" s="405"/>
      <c r="G37" s="406"/>
    </row>
    <row r="38" spans="2:7">
      <c r="B38" s="24"/>
      <c r="C38" s="405"/>
      <c r="D38" s="405"/>
      <c r="E38" s="405"/>
      <c r="F38" s="405"/>
      <c r="G38" s="406"/>
    </row>
    <row r="39" spans="2:7">
      <c r="B39" s="24"/>
      <c r="C39" s="405"/>
      <c r="D39" s="405"/>
      <c r="E39" s="405"/>
      <c r="F39" s="405"/>
      <c r="G39" s="406"/>
    </row>
    <row r="40" spans="2:7">
      <c r="B40" s="24"/>
      <c r="C40" s="405"/>
      <c r="D40" s="405"/>
      <c r="E40" s="405"/>
      <c r="F40" s="405"/>
      <c r="G40" s="406"/>
    </row>
    <row r="41" spans="2:7" ht="16.2" thickBot="1">
      <c r="B41" s="26"/>
      <c r="C41" s="401"/>
      <c r="D41" s="401"/>
      <c r="E41" s="401"/>
      <c r="F41" s="401"/>
      <c r="G41" s="402"/>
    </row>
  </sheetData>
  <mergeCells count="32">
    <mergeCell ref="B18:C18"/>
    <mergeCell ref="F18:G18"/>
    <mergeCell ref="A1:H2"/>
    <mergeCell ref="A8:B8"/>
    <mergeCell ref="B10:C10"/>
    <mergeCell ref="F10:G10"/>
    <mergeCell ref="B11:C11"/>
    <mergeCell ref="F11:G11"/>
    <mergeCell ref="B12:C12"/>
    <mergeCell ref="B13:C13"/>
    <mergeCell ref="F13:G13"/>
    <mergeCell ref="B14:C14"/>
    <mergeCell ref="F14:G14"/>
    <mergeCell ref="C34:G34"/>
    <mergeCell ref="B19:C19"/>
    <mergeCell ref="F19:G19"/>
    <mergeCell ref="B20:C20"/>
    <mergeCell ref="F20:G20"/>
    <mergeCell ref="B21:C21"/>
    <mergeCell ref="B22:C22"/>
    <mergeCell ref="B26:C26"/>
    <mergeCell ref="B27:C27"/>
    <mergeCell ref="B28:C28"/>
    <mergeCell ref="B29:C29"/>
    <mergeCell ref="B30:C30"/>
    <mergeCell ref="C41:G41"/>
    <mergeCell ref="C35:G35"/>
    <mergeCell ref="C36:G36"/>
    <mergeCell ref="C37:G37"/>
    <mergeCell ref="C38:G38"/>
    <mergeCell ref="C39:G39"/>
    <mergeCell ref="C40:G40"/>
  </mergeCells>
  <phoneticPr fontId="6" type="noConversion"/>
  <printOptions horizontalCentered="1"/>
  <pageMargins left="0.75000000000000011" right="0.75000000000000011" top="1" bottom="1" header="0.5" footer="0.5"/>
  <pageSetup scale="86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H40"/>
  <sheetViews>
    <sheetView view="pageLayout" topLeftCell="A6" workbookViewId="0">
      <selection activeCell="B19" sqref="B19:C21"/>
    </sheetView>
  </sheetViews>
  <sheetFormatPr defaultColWidth="11.19921875" defaultRowHeight="15.6"/>
  <cols>
    <col min="3" max="3" width="15.19921875" customWidth="1"/>
    <col min="5" max="5" width="7" customWidth="1"/>
    <col min="7" max="7" width="15.19921875" customWidth="1"/>
  </cols>
  <sheetData>
    <row r="1" spans="1:8">
      <c r="A1" s="416" t="s">
        <v>197</v>
      </c>
      <c r="B1" s="416"/>
      <c r="C1" s="416"/>
      <c r="D1" s="416"/>
      <c r="E1" s="416"/>
      <c r="F1" s="416"/>
      <c r="G1" s="416"/>
      <c r="H1" s="416"/>
    </row>
    <row r="2" spans="1:8">
      <c r="A2" s="416"/>
      <c r="B2" s="416"/>
      <c r="C2" s="416"/>
      <c r="D2" s="416"/>
      <c r="E2" s="416"/>
      <c r="F2" s="416"/>
      <c r="G2" s="416"/>
      <c r="H2" s="416"/>
    </row>
    <row r="3" spans="1:8" ht="28.8">
      <c r="A3" s="268"/>
      <c r="B3" s="268"/>
      <c r="C3" s="268"/>
      <c r="D3" s="268"/>
      <c r="E3" s="268"/>
      <c r="F3" s="268"/>
      <c r="G3" s="268"/>
    </row>
    <row r="5" spans="1:8" ht="18">
      <c r="A5" s="269" t="s">
        <v>172</v>
      </c>
      <c r="E5" s="269" t="s">
        <v>173</v>
      </c>
    </row>
    <row r="6" spans="1:8" ht="18">
      <c r="A6" s="269" t="s">
        <v>174</v>
      </c>
      <c r="E6" s="269" t="s">
        <v>175</v>
      </c>
    </row>
    <row r="8" spans="1:8" ht="18">
      <c r="A8" s="417" t="s">
        <v>176</v>
      </c>
      <c r="B8" s="417"/>
    </row>
    <row r="9" spans="1:8" ht="18.600000000000001" thickBot="1">
      <c r="A9" s="271"/>
      <c r="B9" s="271"/>
    </row>
    <row r="10" spans="1:8" ht="16.2" thickBot="1">
      <c r="B10" s="407" t="s">
        <v>34</v>
      </c>
      <c r="C10" s="408"/>
      <c r="D10" s="211" t="s">
        <v>177</v>
      </c>
      <c r="F10" s="414" t="s">
        <v>34</v>
      </c>
      <c r="G10" s="415"/>
      <c r="H10" s="211" t="s">
        <v>177</v>
      </c>
    </row>
    <row r="11" spans="1:8">
      <c r="B11" s="418" t="s">
        <v>178</v>
      </c>
      <c r="C11" s="419"/>
      <c r="D11" s="273"/>
      <c r="F11" s="409" t="s">
        <v>179</v>
      </c>
      <c r="G11" s="403"/>
      <c r="H11" s="29"/>
    </row>
    <row r="12" spans="1:8">
      <c r="B12" s="410" t="s">
        <v>180</v>
      </c>
      <c r="C12" s="405"/>
      <c r="D12" s="151"/>
      <c r="F12" s="424" t="s">
        <v>181</v>
      </c>
      <c r="G12" s="380"/>
      <c r="H12" s="281"/>
    </row>
    <row r="13" spans="1:8">
      <c r="B13" s="410" t="s">
        <v>182</v>
      </c>
      <c r="C13" s="405"/>
      <c r="D13" s="151"/>
      <c r="F13" s="424" t="s">
        <v>183</v>
      </c>
      <c r="G13" s="380"/>
      <c r="H13" s="30"/>
    </row>
    <row r="14" spans="1:8" ht="16.2" thickBot="1">
      <c r="B14" s="411" t="s">
        <v>184</v>
      </c>
      <c r="C14" s="401"/>
      <c r="D14" s="153"/>
      <c r="F14" s="425" t="s">
        <v>185</v>
      </c>
      <c r="G14" s="382"/>
      <c r="H14" s="31"/>
    </row>
    <row r="16" spans="1:8" ht="18">
      <c r="A16" s="269" t="s">
        <v>186</v>
      </c>
    </row>
    <row r="17" spans="1:4" ht="16.2" thickBot="1"/>
    <row r="18" spans="1:4" ht="16.2" thickBot="1">
      <c r="B18" s="407" t="s">
        <v>34</v>
      </c>
      <c r="C18" s="408"/>
      <c r="D18" s="211" t="s">
        <v>177</v>
      </c>
    </row>
    <row r="19" spans="1:4">
      <c r="B19" s="409" t="s">
        <v>178</v>
      </c>
      <c r="C19" s="403"/>
      <c r="D19" s="274"/>
    </row>
    <row r="20" spans="1:4">
      <c r="B20" s="410" t="s">
        <v>198</v>
      </c>
      <c r="C20" s="405"/>
      <c r="D20" s="151"/>
    </row>
    <row r="21" spans="1:4" ht="16.2" thickBot="1">
      <c r="B21" s="411" t="s">
        <v>199</v>
      </c>
      <c r="C21" s="401"/>
      <c r="D21" s="153"/>
    </row>
    <row r="23" spans="1:4" ht="18">
      <c r="A23" s="269" t="s">
        <v>191</v>
      </c>
    </row>
    <row r="24" spans="1:4" ht="16.2" thickBot="1"/>
    <row r="25" spans="1:4" ht="16.2" thickBot="1">
      <c r="B25" s="407" t="s">
        <v>34</v>
      </c>
      <c r="C25" s="408"/>
      <c r="D25" s="211" t="s">
        <v>177</v>
      </c>
    </row>
    <row r="26" spans="1:4">
      <c r="B26" s="409" t="s">
        <v>192</v>
      </c>
      <c r="C26" s="403"/>
      <c r="D26" s="274"/>
    </row>
    <row r="27" spans="1:4">
      <c r="B27" s="410" t="s">
        <v>193</v>
      </c>
      <c r="C27" s="405"/>
      <c r="D27" s="151"/>
    </row>
    <row r="28" spans="1:4">
      <c r="B28" s="410" t="s">
        <v>194</v>
      </c>
      <c r="C28" s="405"/>
      <c r="D28" s="151"/>
    </row>
    <row r="29" spans="1:4" ht="16.2" thickBot="1">
      <c r="B29" s="411" t="s">
        <v>195</v>
      </c>
      <c r="C29" s="401"/>
      <c r="D29" s="153"/>
    </row>
    <row r="31" spans="1:4" ht="18">
      <c r="A31" s="269" t="s">
        <v>196</v>
      </c>
    </row>
    <row r="32" spans="1:4" ht="16.2" thickBot="1"/>
    <row r="33" spans="2:7" ht="18.600000000000001" thickBot="1">
      <c r="B33" s="278" t="s">
        <v>12</v>
      </c>
      <c r="C33" s="412" t="s">
        <v>34</v>
      </c>
      <c r="D33" s="412"/>
      <c r="E33" s="412"/>
      <c r="F33" s="412"/>
      <c r="G33" s="413"/>
    </row>
    <row r="34" spans="2:7">
      <c r="B34" s="33"/>
      <c r="C34" s="385"/>
      <c r="D34" s="426"/>
      <c r="E34" s="426"/>
      <c r="F34" s="426"/>
      <c r="G34" s="427"/>
    </row>
    <row r="35" spans="2:7">
      <c r="B35" s="24"/>
      <c r="C35" s="381"/>
      <c r="D35" s="420"/>
      <c r="E35" s="420"/>
      <c r="F35" s="420"/>
      <c r="G35" s="421"/>
    </row>
    <row r="36" spans="2:7">
      <c r="B36" s="24"/>
      <c r="C36" s="381"/>
      <c r="D36" s="420"/>
      <c r="E36" s="420"/>
      <c r="F36" s="420"/>
      <c r="G36" s="421"/>
    </row>
    <row r="37" spans="2:7">
      <c r="B37" s="24"/>
      <c r="C37" s="381"/>
      <c r="D37" s="420"/>
      <c r="E37" s="420"/>
      <c r="F37" s="420"/>
      <c r="G37" s="421"/>
    </row>
    <row r="38" spans="2:7">
      <c r="B38" s="24"/>
      <c r="C38" s="381"/>
      <c r="D38" s="420"/>
      <c r="E38" s="420"/>
      <c r="F38" s="420"/>
      <c r="G38" s="421"/>
    </row>
    <row r="39" spans="2:7">
      <c r="B39" s="24"/>
      <c r="C39" s="381"/>
      <c r="D39" s="420"/>
      <c r="E39" s="420"/>
      <c r="F39" s="420"/>
      <c r="G39" s="421"/>
    </row>
    <row r="40" spans="2:7" ht="16.2" thickBot="1">
      <c r="B40" s="26"/>
      <c r="C40" s="383"/>
      <c r="D40" s="422"/>
      <c r="E40" s="422"/>
      <c r="F40" s="422"/>
      <c r="G40" s="423"/>
    </row>
  </sheetData>
  <mergeCells count="29">
    <mergeCell ref="A1:H2"/>
    <mergeCell ref="A8:B8"/>
    <mergeCell ref="F10:G10"/>
    <mergeCell ref="B10:C10"/>
    <mergeCell ref="F11:G11"/>
    <mergeCell ref="B11:C11"/>
    <mergeCell ref="B25:C25"/>
    <mergeCell ref="B26:C26"/>
    <mergeCell ref="B27:C27"/>
    <mergeCell ref="B12:C12"/>
    <mergeCell ref="B13:C13"/>
    <mergeCell ref="B14:C14"/>
    <mergeCell ref="B18:C18"/>
    <mergeCell ref="C37:G37"/>
    <mergeCell ref="C38:G38"/>
    <mergeCell ref="C39:G39"/>
    <mergeCell ref="C40:G40"/>
    <mergeCell ref="F12:G12"/>
    <mergeCell ref="F13:G13"/>
    <mergeCell ref="F14:G14"/>
    <mergeCell ref="B28:C28"/>
    <mergeCell ref="B29:C29"/>
    <mergeCell ref="C33:G33"/>
    <mergeCell ref="C34:G34"/>
    <mergeCell ref="C35:G35"/>
    <mergeCell ref="C36:G36"/>
    <mergeCell ref="B19:C19"/>
    <mergeCell ref="B20:C20"/>
    <mergeCell ref="B21:C21"/>
  </mergeCells>
  <phoneticPr fontId="6" type="noConversion"/>
  <printOptions horizontalCentered="1"/>
  <pageMargins left="0.75000000000000011" right="0.75000000000000011" top="1" bottom="1" header="0.5" footer="0.5"/>
  <pageSetup scale="88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2:H41"/>
  <sheetViews>
    <sheetView view="pageLayout" topLeftCell="A8" workbookViewId="0">
      <selection activeCell="B27" sqref="B27:C30"/>
    </sheetView>
  </sheetViews>
  <sheetFormatPr defaultColWidth="11.19921875" defaultRowHeight="15.6"/>
  <cols>
    <col min="1" max="1" width="7.796875" customWidth="1"/>
    <col min="3" max="3" width="15.5" customWidth="1"/>
    <col min="5" max="5" width="7.5" customWidth="1"/>
    <col min="7" max="7" width="14.69921875" customWidth="1"/>
  </cols>
  <sheetData>
    <row r="2" spans="1:8">
      <c r="A2" s="416" t="s">
        <v>200</v>
      </c>
      <c r="B2" s="416"/>
      <c r="C2" s="416"/>
      <c r="D2" s="416"/>
      <c r="E2" s="416"/>
      <c r="F2" s="416"/>
      <c r="G2" s="416"/>
      <c r="H2" s="416"/>
    </row>
    <row r="3" spans="1:8">
      <c r="A3" s="416"/>
      <c r="B3" s="416"/>
      <c r="C3" s="416"/>
      <c r="D3" s="416"/>
      <c r="E3" s="416"/>
      <c r="F3" s="416"/>
      <c r="G3" s="416"/>
      <c r="H3" s="416"/>
    </row>
    <row r="4" spans="1:8" ht="28.8">
      <c r="A4" s="268"/>
      <c r="B4" s="268"/>
      <c r="C4" s="268"/>
      <c r="D4" s="268"/>
      <c r="E4" s="268"/>
    </row>
    <row r="6" spans="1:8" ht="18">
      <c r="A6" s="269" t="s">
        <v>172</v>
      </c>
      <c r="E6" s="269" t="s">
        <v>173</v>
      </c>
    </row>
    <row r="7" spans="1:8" ht="18">
      <c r="A7" s="269" t="s">
        <v>174</v>
      </c>
      <c r="E7" s="269" t="s">
        <v>175</v>
      </c>
    </row>
    <row r="9" spans="1:8" ht="18">
      <c r="A9" s="417" t="s">
        <v>176</v>
      </c>
      <c r="B9" s="417"/>
    </row>
    <row r="10" spans="1:8" ht="18.600000000000001" thickBot="1">
      <c r="A10" s="271"/>
      <c r="B10" s="271"/>
    </row>
    <row r="11" spans="1:8" ht="16.2" thickBot="1">
      <c r="B11" s="407" t="s">
        <v>34</v>
      </c>
      <c r="C11" s="408"/>
      <c r="D11" s="211" t="s">
        <v>177</v>
      </c>
      <c r="F11" s="414" t="s">
        <v>34</v>
      </c>
      <c r="G11" s="415"/>
      <c r="H11" s="211" t="s">
        <v>177</v>
      </c>
    </row>
    <row r="12" spans="1:8">
      <c r="B12" s="418" t="s">
        <v>178</v>
      </c>
      <c r="C12" s="419"/>
      <c r="D12" s="273"/>
      <c r="F12" s="409" t="s">
        <v>179</v>
      </c>
      <c r="G12" s="403"/>
      <c r="H12" s="29"/>
    </row>
    <row r="13" spans="1:8">
      <c r="B13" s="410" t="s">
        <v>180</v>
      </c>
      <c r="C13" s="405"/>
      <c r="D13" s="151"/>
      <c r="F13" s="424" t="s">
        <v>181</v>
      </c>
      <c r="G13" s="380"/>
      <c r="H13" s="281"/>
    </row>
    <row r="14" spans="1:8">
      <c r="B14" s="410" t="s">
        <v>182</v>
      </c>
      <c r="C14" s="405"/>
      <c r="D14" s="151"/>
      <c r="F14" s="424" t="s">
        <v>183</v>
      </c>
      <c r="G14" s="380"/>
      <c r="H14" s="30"/>
    </row>
    <row r="15" spans="1:8" ht="16.2" thickBot="1">
      <c r="B15" s="411" t="s">
        <v>184</v>
      </c>
      <c r="C15" s="401"/>
      <c r="D15" s="153"/>
      <c r="F15" s="425" t="s">
        <v>185</v>
      </c>
      <c r="G15" s="382"/>
      <c r="H15" s="31"/>
    </row>
    <row r="17" spans="1:4" ht="18">
      <c r="A17" s="269" t="s">
        <v>186</v>
      </c>
    </row>
    <row r="18" spans="1:4" ht="16.2" thickBot="1"/>
    <row r="19" spans="1:4" ht="16.2" thickBot="1">
      <c r="B19" s="407" t="s">
        <v>34</v>
      </c>
      <c r="C19" s="408"/>
      <c r="D19" s="211" t="s">
        <v>177</v>
      </c>
    </row>
    <row r="20" spans="1:4">
      <c r="B20" s="409" t="s">
        <v>178</v>
      </c>
      <c r="C20" s="403"/>
      <c r="D20" s="29"/>
    </row>
    <row r="21" spans="1:4">
      <c r="B21" s="410" t="s">
        <v>201</v>
      </c>
      <c r="C21" s="405"/>
      <c r="D21" s="30"/>
    </row>
    <row r="22" spans="1:4">
      <c r="B22" s="424" t="s">
        <v>120</v>
      </c>
      <c r="C22" s="380"/>
      <c r="D22" s="30"/>
    </row>
    <row r="24" spans="1:4" ht="18">
      <c r="A24" s="269" t="s">
        <v>191</v>
      </c>
    </row>
    <row r="25" spans="1:4" ht="16.2" thickBot="1"/>
    <row r="26" spans="1:4" ht="16.2" thickBot="1">
      <c r="B26" s="407" t="s">
        <v>34</v>
      </c>
      <c r="C26" s="408"/>
      <c r="D26" s="211" t="s">
        <v>177</v>
      </c>
    </row>
    <row r="27" spans="1:4">
      <c r="B27" s="435" t="s">
        <v>192</v>
      </c>
      <c r="C27" s="436"/>
      <c r="D27" s="274"/>
    </row>
    <row r="28" spans="1:4">
      <c r="B28" s="428" t="s">
        <v>193</v>
      </c>
      <c r="C28" s="429"/>
      <c r="D28" s="151"/>
    </row>
    <row r="29" spans="1:4">
      <c r="B29" s="428" t="s">
        <v>194</v>
      </c>
      <c r="C29" s="429"/>
      <c r="D29" s="151"/>
    </row>
    <row r="30" spans="1:4" ht="16.2" thickBot="1">
      <c r="B30" s="430" t="s">
        <v>195</v>
      </c>
      <c r="C30" s="431"/>
      <c r="D30" s="153"/>
    </row>
    <row r="32" spans="1:4" ht="18">
      <c r="A32" s="269" t="s">
        <v>196</v>
      </c>
    </row>
    <row r="33" spans="2:7" ht="16.2" thickBot="1"/>
    <row r="34" spans="2:7" ht="18.600000000000001" thickBot="1">
      <c r="B34" s="278" t="s">
        <v>12</v>
      </c>
      <c r="C34" s="432" t="s">
        <v>34</v>
      </c>
      <c r="D34" s="433"/>
      <c r="E34" s="433"/>
      <c r="F34" s="433"/>
      <c r="G34" s="434"/>
    </row>
    <row r="35" spans="2:7">
      <c r="B35" s="33"/>
      <c r="C35" s="385"/>
      <c r="D35" s="426"/>
      <c r="E35" s="426"/>
      <c r="F35" s="426"/>
      <c r="G35" s="427"/>
    </row>
    <row r="36" spans="2:7">
      <c r="B36" s="24"/>
      <c r="C36" s="381"/>
      <c r="D36" s="420"/>
      <c r="E36" s="420"/>
      <c r="F36" s="420"/>
      <c r="G36" s="421"/>
    </row>
    <row r="37" spans="2:7">
      <c r="B37" s="24"/>
      <c r="C37" s="381"/>
      <c r="D37" s="420"/>
      <c r="E37" s="420"/>
      <c r="F37" s="420"/>
      <c r="G37" s="421"/>
    </row>
    <row r="38" spans="2:7">
      <c r="B38" s="24"/>
      <c r="C38" s="381"/>
      <c r="D38" s="420"/>
      <c r="E38" s="420"/>
      <c r="F38" s="420"/>
      <c r="G38" s="421"/>
    </row>
    <row r="39" spans="2:7">
      <c r="B39" s="24"/>
      <c r="C39" s="381"/>
      <c r="D39" s="420"/>
      <c r="E39" s="420"/>
      <c r="F39" s="420"/>
      <c r="G39" s="421"/>
    </row>
    <row r="40" spans="2:7">
      <c r="B40" s="24"/>
      <c r="C40" s="381"/>
      <c r="D40" s="420"/>
      <c r="E40" s="420"/>
      <c r="F40" s="420"/>
      <c r="G40" s="421"/>
    </row>
    <row r="41" spans="2:7" ht="16.2" thickBot="1">
      <c r="B41" s="26"/>
      <c r="C41" s="383"/>
      <c r="D41" s="422"/>
      <c r="E41" s="422"/>
      <c r="F41" s="422"/>
      <c r="G41" s="423"/>
    </row>
  </sheetData>
  <mergeCells count="29">
    <mergeCell ref="A2:H3"/>
    <mergeCell ref="A9:B9"/>
    <mergeCell ref="F11:G11"/>
    <mergeCell ref="B11:C11"/>
    <mergeCell ref="F12:G12"/>
    <mergeCell ref="B12:C12"/>
    <mergeCell ref="B26:C26"/>
    <mergeCell ref="B27:C27"/>
    <mergeCell ref="B28:C28"/>
    <mergeCell ref="B13:C13"/>
    <mergeCell ref="B14:C14"/>
    <mergeCell ref="B15:C15"/>
    <mergeCell ref="B19:C19"/>
    <mergeCell ref="F13:G13"/>
    <mergeCell ref="C38:G38"/>
    <mergeCell ref="C39:G39"/>
    <mergeCell ref="C40:G40"/>
    <mergeCell ref="C41:G41"/>
    <mergeCell ref="F14:G14"/>
    <mergeCell ref="F15:G15"/>
    <mergeCell ref="B29:C29"/>
    <mergeCell ref="B30:C30"/>
    <mergeCell ref="C34:G34"/>
    <mergeCell ref="C35:G35"/>
    <mergeCell ref="C36:G36"/>
    <mergeCell ref="C37:G37"/>
    <mergeCell ref="B20:C20"/>
    <mergeCell ref="B21:C21"/>
    <mergeCell ref="B22:C22"/>
  </mergeCells>
  <phoneticPr fontId="6" type="noConversion"/>
  <printOptions horizontalCentered="1"/>
  <pageMargins left="0.75000000000000011" right="0.75000000000000011" top="1" bottom="1" header="0.5" footer="0.5"/>
  <pageSetup scale="90" orientation="portrait" horizontalDpi="4294967292" verticalDpi="4294967292" r:id="rId1"/>
  <headerFooter>
    <oddHeader>&amp;L&amp;"Cambria,Regular"&amp;18&amp;K000000TH Reforestación_x000D_&amp;11Nit: 900.525.504-9_x000D_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I47"/>
  <sheetViews>
    <sheetView tabSelected="1" view="pageLayout" workbookViewId="0">
      <selection activeCell="B15" sqref="B15:F15"/>
    </sheetView>
  </sheetViews>
  <sheetFormatPr defaultColWidth="11.19921875" defaultRowHeight="15.6"/>
  <cols>
    <col min="6" max="6" width="7.296875" customWidth="1"/>
    <col min="7" max="7" width="12.69921875" bestFit="1" customWidth="1"/>
    <col min="8" max="8" width="13" customWidth="1"/>
    <col min="9" max="9" width="15.296875" customWidth="1"/>
  </cols>
  <sheetData>
    <row r="1" spans="1:9">
      <c r="A1" s="392" t="s">
        <v>202</v>
      </c>
      <c r="B1" s="392"/>
      <c r="C1" s="392"/>
      <c r="D1" s="392"/>
      <c r="E1" s="392"/>
      <c r="F1" s="392"/>
      <c r="G1" s="392"/>
      <c r="H1" s="392"/>
      <c r="I1" s="392"/>
    </row>
    <row r="2" spans="1:9">
      <c r="A2" s="299" t="s">
        <v>203</v>
      </c>
      <c r="B2" s="299"/>
      <c r="C2" s="299"/>
      <c r="D2" s="299"/>
      <c r="E2" s="299"/>
      <c r="F2" s="299"/>
      <c r="G2" s="299"/>
      <c r="H2" s="299"/>
      <c r="I2" s="299"/>
    </row>
    <row r="3" spans="1:9">
      <c r="A3" s="299"/>
      <c r="B3" s="299"/>
      <c r="C3" s="299"/>
      <c r="D3" s="299"/>
      <c r="E3" s="299"/>
      <c r="F3" s="299"/>
      <c r="G3" s="299"/>
      <c r="H3" s="299"/>
      <c r="I3" s="299"/>
    </row>
    <row r="4" spans="1:9" ht="16.2" thickBot="1">
      <c r="G4" s="298"/>
      <c r="H4" s="298"/>
      <c r="I4" s="2"/>
    </row>
    <row r="5" spans="1:9">
      <c r="A5" s="284" t="s">
        <v>209</v>
      </c>
      <c r="B5" s="285"/>
      <c r="C5" s="285"/>
      <c r="D5" s="285"/>
      <c r="E5" s="285"/>
      <c r="F5" s="285"/>
      <c r="G5" s="285"/>
      <c r="H5" s="285"/>
      <c r="I5" s="286"/>
    </row>
    <row r="6" spans="1:9">
      <c r="A6" s="287" t="s">
        <v>24</v>
      </c>
      <c r="B6" s="4"/>
      <c r="C6" s="4"/>
      <c r="D6" s="2"/>
      <c r="E6" s="393" t="s">
        <v>111</v>
      </c>
      <c r="F6" s="393"/>
      <c r="G6" s="4"/>
      <c r="H6" s="4"/>
      <c r="I6" s="288"/>
    </row>
    <row r="7" spans="1:9">
      <c r="A7" s="287" t="s">
        <v>110</v>
      </c>
      <c r="B7" s="179"/>
      <c r="C7" s="179"/>
      <c r="D7" s="2"/>
      <c r="E7" s="393" t="s">
        <v>112</v>
      </c>
      <c r="F7" s="393"/>
      <c r="G7" s="179"/>
      <c r="H7" s="179"/>
      <c r="I7" s="288"/>
    </row>
    <row r="8" spans="1:9">
      <c r="A8" s="289"/>
      <c r="B8" s="4"/>
      <c r="C8" s="4"/>
      <c r="D8" s="4"/>
      <c r="E8" s="4"/>
      <c r="F8" s="4"/>
      <c r="G8" s="201"/>
      <c r="H8" s="4"/>
      <c r="I8" s="290"/>
    </row>
    <row r="9" spans="1:9">
      <c r="A9" s="291" t="s">
        <v>208</v>
      </c>
      <c r="B9" s="10"/>
      <c r="C9" s="10"/>
      <c r="D9" s="10"/>
      <c r="E9" s="10"/>
      <c r="F9" s="10"/>
      <c r="G9" s="10"/>
      <c r="H9" s="10"/>
      <c r="I9" s="292"/>
    </row>
    <row r="10" spans="1:9">
      <c r="A10" s="287"/>
      <c r="B10" s="2"/>
      <c r="C10" s="2"/>
      <c r="D10" s="2"/>
      <c r="E10" s="2"/>
      <c r="F10" s="2"/>
      <c r="G10" s="2"/>
      <c r="H10" s="2"/>
      <c r="I10" s="288"/>
    </row>
    <row r="11" spans="1:9" ht="18" customHeight="1">
      <c r="A11" s="438" t="s">
        <v>204</v>
      </c>
      <c r="B11" s="397"/>
      <c r="C11" s="296"/>
      <c r="D11" s="296"/>
      <c r="E11" s="296"/>
      <c r="F11" s="296"/>
      <c r="G11" s="296"/>
      <c r="H11" s="296"/>
      <c r="I11" s="437"/>
    </row>
    <row r="12" spans="1:9" ht="18" customHeight="1">
      <c r="A12" s="438" t="s">
        <v>205</v>
      </c>
      <c r="B12" s="397"/>
      <c r="C12" s="296"/>
      <c r="D12" s="296"/>
      <c r="E12" s="296"/>
      <c r="F12" s="296"/>
      <c r="G12" s="296"/>
      <c r="H12" s="296"/>
      <c r="I12" s="437"/>
    </row>
    <row r="13" spans="1:9" ht="16.2" thickBot="1">
      <c r="A13" s="293"/>
      <c r="B13" s="294"/>
      <c r="C13" s="294"/>
      <c r="D13" s="294"/>
      <c r="E13" s="294"/>
      <c r="F13" s="294"/>
      <c r="G13" s="294"/>
      <c r="H13" s="294"/>
      <c r="I13" s="295"/>
    </row>
    <row r="14" spans="1:9" ht="16.2" thickBot="1"/>
    <row r="15" spans="1:9" ht="21" customHeight="1" thickBot="1">
      <c r="A15" s="209" t="s">
        <v>12</v>
      </c>
      <c r="B15" s="408" t="s">
        <v>206</v>
      </c>
      <c r="C15" s="408"/>
      <c r="D15" s="408"/>
      <c r="E15" s="408"/>
      <c r="F15" s="408"/>
      <c r="G15" s="210" t="s">
        <v>207</v>
      </c>
      <c r="H15" s="210" t="s">
        <v>36</v>
      </c>
      <c r="I15" s="211" t="s">
        <v>22</v>
      </c>
    </row>
    <row r="16" spans="1:9" ht="19.95" customHeight="1">
      <c r="A16" s="33">
        <v>1</v>
      </c>
      <c r="B16" s="403"/>
      <c r="C16" s="403"/>
      <c r="D16" s="403"/>
      <c r="E16" s="403"/>
      <c r="F16" s="403"/>
      <c r="G16" s="283"/>
      <c r="H16" s="283"/>
      <c r="I16" s="29"/>
    </row>
    <row r="17" spans="1:9" ht="19.95" customHeight="1">
      <c r="A17" s="24">
        <v>2</v>
      </c>
      <c r="B17" s="405"/>
      <c r="C17" s="405"/>
      <c r="D17" s="405"/>
      <c r="E17" s="405"/>
      <c r="F17" s="405"/>
      <c r="G17" s="279"/>
      <c r="H17" s="279"/>
      <c r="I17" s="30"/>
    </row>
    <row r="18" spans="1:9" ht="19.95" customHeight="1">
      <c r="A18" s="24">
        <v>3</v>
      </c>
      <c r="B18" s="405"/>
      <c r="C18" s="405"/>
      <c r="D18" s="405"/>
      <c r="E18" s="405"/>
      <c r="F18" s="405"/>
      <c r="G18" s="279"/>
      <c r="H18" s="279"/>
      <c r="I18" s="30"/>
    </row>
    <row r="19" spans="1:9" ht="19.95" customHeight="1">
      <c r="A19" s="24">
        <v>4</v>
      </c>
      <c r="B19" s="405"/>
      <c r="C19" s="405"/>
      <c r="D19" s="405"/>
      <c r="E19" s="405"/>
      <c r="F19" s="405"/>
      <c r="G19" s="279"/>
      <c r="H19" s="279"/>
      <c r="I19" s="30"/>
    </row>
    <row r="20" spans="1:9" ht="19.95" customHeight="1">
      <c r="A20" s="24">
        <v>5</v>
      </c>
      <c r="B20" s="405"/>
      <c r="C20" s="405"/>
      <c r="D20" s="405"/>
      <c r="E20" s="405"/>
      <c r="F20" s="405"/>
      <c r="G20" s="279"/>
      <c r="H20" s="279"/>
      <c r="I20" s="30"/>
    </row>
    <row r="21" spans="1:9" ht="19.95" customHeight="1">
      <c r="A21" s="24">
        <v>6</v>
      </c>
      <c r="B21" s="405"/>
      <c r="C21" s="405"/>
      <c r="D21" s="405"/>
      <c r="E21" s="405"/>
      <c r="F21" s="405"/>
      <c r="G21" s="279"/>
      <c r="H21" s="279"/>
      <c r="I21" s="30"/>
    </row>
    <row r="22" spans="1:9" ht="19.95" customHeight="1">
      <c r="A22" s="24">
        <v>7</v>
      </c>
      <c r="B22" s="405"/>
      <c r="C22" s="405"/>
      <c r="D22" s="405"/>
      <c r="E22" s="405"/>
      <c r="F22" s="405"/>
      <c r="G22" s="279"/>
      <c r="H22" s="279"/>
      <c r="I22" s="30"/>
    </row>
    <row r="23" spans="1:9" ht="19.95" customHeight="1">
      <c r="A23" s="24">
        <v>8</v>
      </c>
      <c r="B23" s="405"/>
      <c r="C23" s="405"/>
      <c r="D23" s="405"/>
      <c r="E23" s="405"/>
      <c r="F23" s="405"/>
      <c r="G23" s="279"/>
      <c r="H23" s="279"/>
      <c r="I23" s="30"/>
    </row>
    <row r="24" spans="1:9" ht="19.95" customHeight="1">
      <c r="A24" s="24">
        <v>9</v>
      </c>
      <c r="B24" s="405"/>
      <c r="C24" s="405"/>
      <c r="D24" s="405"/>
      <c r="E24" s="405"/>
      <c r="F24" s="405"/>
      <c r="G24" s="279"/>
      <c r="H24" s="279"/>
      <c r="I24" s="30"/>
    </row>
    <row r="25" spans="1:9" ht="19.95" customHeight="1">
      <c r="A25" s="24">
        <v>10</v>
      </c>
      <c r="B25" s="405"/>
      <c r="C25" s="405"/>
      <c r="D25" s="405"/>
      <c r="E25" s="405"/>
      <c r="F25" s="405"/>
      <c r="G25" s="279"/>
      <c r="H25" s="279"/>
      <c r="I25" s="30"/>
    </row>
    <row r="26" spans="1:9" ht="19.95" customHeight="1">
      <c r="A26" s="24">
        <v>11</v>
      </c>
      <c r="B26" s="405"/>
      <c r="C26" s="405"/>
      <c r="D26" s="405"/>
      <c r="E26" s="405"/>
      <c r="F26" s="405"/>
      <c r="G26" s="279"/>
      <c r="H26" s="279"/>
      <c r="I26" s="30"/>
    </row>
    <row r="27" spans="1:9" ht="19.95" customHeight="1">
      <c r="A27" s="24">
        <v>12</v>
      </c>
      <c r="B27" s="405"/>
      <c r="C27" s="405"/>
      <c r="D27" s="405"/>
      <c r="E27" s="405"/>
      <c r="F27" s="405"/>
      <c r="G27" s="279"/>
      <c r="H27" s="279"/>
      <c r="I27" s="30"/>
    </row>
    <row r="28" spans="1:9" ht="19.95" customHeight="1">
      <c r="A28" s="24">
        <v>13</v>
      </c>
      <c r="B28" s="405"/>
      <c r="C28" s="405"/>
      <c r="D28" s="405"/>
      <c r="E28" s="405"/>
      <c r="F28" s="405"/>
      <c r="G28" s="279"/>
      <c r="H28" s="279"/>
      <c r="I28" s="30"/>
    </row>
    <row r="29" spans="1:9" ht="19.95" customHeight="1">
      <c r="A29" s="24">
        <v>14</v>
      </c>
      <c r="B29" s="405"/>
      <c r="C29" s="405"/>
      <c r="D29" s="405"/>
      <c r="E29" s="405"/>
      <c r="F29" s="405"/>
      <c r="G29" s="279"/>
      <c r="H29" s="279"/>
      <c r="I29" s="30"/>
    </row>
    <row r="30" spans="1:9" ht="19.95" customHeight="1">
      <c r="A30" s="24">
        <v>15</v>
      </c>
      <c r="B30" s="405"/>
      <c r="C30" s="405"/>
      <c r="D30" s="405"/>
      <c r="E30" s="405"/>
      <c r="F30" s="405"/>
      <c r="G30" s="279"/>
      <c r="H30" s="279"/>
      <c r="I30" s="30"/>
    </row>
    <row r="31" spans="1:9" ht="19.95" customHeight="1">
      <c r="A31" s="24">
        <v>16</v>
      </c>
      <c r="B31" s="405"/>
      <c r="C31" s="405"/>
      <c r="D31" s="405"/>
      <c r="E31" s="405"/>
      <c r="F31" s="405"/>
      <c r="G31" s="279"/>
      <c r="H31" s="279"/>
      <c r="I31" s="30"/>
    </row>
    <row r="32" spans="1:9" ht="19.95" customHeight="1">
      <c r="A32" s="24">
        <v>17</v>
      </c>
      <c r="B32" s="405"/>
      <c r="C32" s="405"/>
      <c r="D32" s="405"/>
      <c r="E32" s="405"/>
      <c r="F32" s="405"/>
      <c r="G32" s="279"/>
      <c r="H32" s="279"/>
      <c r="I32" s="30"/>
    </row>
    <row r="33" spans="1:9" ht="19.95" customHeight="1">
      <c r="A33" s="24">
        <v>18</v>
      </c>
      <c r="B33" s="405"/>
      <c r="C33" s="405"/>
      <c r="D33" s="405"/>
      <c r="E33" s="405"/>
      <c r="F33" s="405"/>
      <c r="G33" s="279"/>
      <c r="H33" s="279"/>
      <c r="I33" s="30"/>
    </row>
    <row r="34" spans="1:9" ht="19.95" customHeight="1">
      <c r="A34" s="24">
        <v>19</v>
      </c>
      <c r="B34" s="405"/>
      <c r="C34" s="405"/>
      <c r="D34" s="405"/>
      <c r="E34" s="405"/>
      <c r="F34" s="405"/>
      <c r="G34" s="279"/>
      <c r="H34" s="279"/>
      <c r="I34" s="30"/>
    </row>
    <row r="35" spans="1:9" ht="19.95" customHeight="1">
      <c r="A35" s="24">
        <v>20</v>
      </c>
      <c r="B35" s="405"/>
      <c r="C35" s="405"/>
      <c r="D35" s="405"/>
      <c r="E35" s="405"/>
      <c r="F35" s="405"/>
      <c r="G35" s="279"/>
      <c r="H35" s="279"/>
      <c r="I35" s="30"/>
    </row>
    <row r="36" spans="1:9" ht="19.95" customHeight="1">
      <c r="A36" s="24">
        <v>21</v>
      </c>
      <c r="B36" s="405"/>
      <c r="C36" s="405"/>
      <c r="D36" s="405"/>
      <c r="E36" s="405"/>
      <c r="F36" s="405"/>
      <c r="G36" s="279"/>
      <c r="H36" s="279"/>
      <c r="I36" s="30"/>
    </row>
    <row r="37" spans="1:9" ht="19.95" customHeight="1">
      <c r="A37" s="24">
        <v>22</v>
      </c>
      <c r="B37" s="405"/>
      <c r="C37" s="405"/>
      <c r="D37" s="405"/>
      <c r="E37" s="405"/>
      <c r="F37" s="405"/>
      <c r="G37" s="279"/>
      <c r="H37" s="279"/>
      <c r="I37" s="30"/>
    </row>
    <row r="38" spans="1:9" ht="19.95" customHeight="1">
      <c r="A38" s="24">
        <v>23</v>
      </c>
      <c r="B38" s="405"/>
      <c r="C38" s="405"/>
      <c r="D38" s="405"/>
      <c r="E38" s="405"/>
      <c r="F38" s="405"/>
      <c r="G38" s="279"/>
      <c r="H38" s="279"/>
      <c r="I38" s="30"/>
    </row>
    <row r="39" spans="1:9" ht="19.95" customHeight="1">
      <c r="A39" s="24">
        <v>24</v>
      </c>
      <c r="B39" s="405"/>
      <c r="C39" s="405"/>
      <c r="D39" s="405"/>
      <c r="E39" s="405"/>
      <c r="F39" s="405"/>
      <c r="G39" s="279"/>
      <c r="H39" s="279"/>
      <c r="I39" s="30"/>
    </row>
    <row r="40" spans="1:9" ht="19.95" customHeight="1">
      <c r="A40" s="24">
        <v>25</v>
      </c>
      <c r="B40" s="405"/>
      <c r="C40" s="405"/>
      <c r="D40" s="405"/>
      <c r="E40" s="405"/>
      <c r="F40" s="405"/>
      <c r="G40" s="279"/>
      <c r="H40" s="279"/>
      <c r="I40" s="30"/>
    </row>
    <row r="41" spans="1:9" ht="19.95" customHeight="1">
      <c r="A41" s="24">
        <v>26</v>
      </c>
      <c r="B41" s="405"/>
      <c r="C41" s="405"/>
      <c r="D41" s="405"/>
      <c r="E41" s="405"/>
      <c r="F41" s="405"/>
      <c r="G41" s="279"/>
      <c r="H41" s="279"/>
      <c r="I41" s="30"/>
    </row>
    <row r="42" spans="1:9" ht="19.95" customHeight="1">
      <c r="A42" s="24">
        <v>27</v>
      </c>
      <c r="B42" s="405"/>
      <c r="C42" s="405"/>
      <c r="D42" s="405"/>
      <c r="E42" s="405"/>
      <c r="F42" s="405"/>
      <c r="G42" s="279"/>
      <c r="H42" s="279"/>
      <c r="I42" s="30"/>
    </row>
    <row r="43" spans="1:9" ht="19.95" customHeight="1">
      <c r="A43" s="24">
        <v>28</v>
      </c>
      <c r="B43" s="405"/>
      <c r="C43" s="405"/>
      <c r="D43" s="405"/>
      <c r="E43" s="405"/>
      <c r="F43" s="405"/>
      <c r="G43" s="279"/>
      <c r="H43" s="279"/>
      <c r="I43" s="30"/>
    </row>
    <row r="44" spans="1:9" ht="19.95" customHeight="1">
      <c r="A44" s="24">
        <v>29</v>
      </c>
      <c r="B44" s="405"/>
      <c r="C44" s="405"/>
      <c r="D44" s="405"/>
      <c r="E44" s="405"/>
      <c r="F44" s="405"/>
      <c r="G44" s="279"/>
      <c r="H44" s="279"/>
      <c r="I44" s="30"/>
    </row>
    <row r="45" spans="1:9" ht="19.95" customHeight="1" thickBot="1">
      <c r="A45" s="26">
        <v>30</v>
      </c>
      <c r="B45" s="401"/>
      <c r="C45" s="401"/>
      <c r="D45" s="401"/>
      <c r="E45" s="401"/>
      <c r="F45" s="401"/>
      <c r="G45" s="280"/>
      <c r="H45" s="280"/>
      <c r="I45" s="31"/>
    </row>
    <row r="46" spans="1:9" ht="19.95" customHeight="1">
      <c r="B46" s="121"/>
      <c r="C46" s="121"/>
      <c r="D46" s="121"/>
      <c r="E46" s="121"/>
      <c r="F46" s="121"/>
    </row>
    <row r="47" spans="1:9" ht="19.95" customHeight="1">
      <c r="B47" s="282"/>
      <c r="C47" s="282"/>
      <c r="D47" s="282"/>
      <c r="E47" s="282"/>
      <c r="F47" s="282"/>
    </row>
  </sheetData>
  <mergeCells count="40">
    <mergeCell ref="A11:B11"/>
    <mergeCell ref="A1:I1"/>
    <mergeCell ref="A2:I3"/>
    <mergeCell ref="G4:H4"/>
    <mergeCell ref="E6:F6"/>
    <mergeCell ref="E7:F7"/>
    <mergeCell ref="B24:F24"/>
    <mergeCell ref="A12:B12"/>
    <mergeCell ref="B15:F15"/>
    <mergeCell ref="B16:F16"/>
    <mergeCell ref="B17:F17"/>
    <mergeCell ref="B18:F18"/>
    <mergeCell ref="B19:F19"/>
    <mergeCell ref="B20:F20"/>
    <mergeCell ref="B21:F21"/>
    <mergeCell ref="B22:F22"/>
    <mergeCell ref="B23:F23"/>
    <mergeCell ref="B36:F36"/>
    <mergeCell ref="B25:F25"/>
    <mergeCell ref="B26:F26"/>
    <mergeCell ref="B27:F27"/>
    <mergeCell ref="B28:F28"/>
    <mergeCell ref="B29:F29"/>
    <mergeCell ref="B30:F30"/>
    <mergeCell ref="B43:F43"/>
    <mergeCell ref="B44:F44"/>
    <mergeCell ref="B45:F45"/>
    <mergeCell ref="C11:I11"/>
    <mergeCell ref="C12:I12"/>
    <mergeCell ref="B37:F37"/>
    <mergeCell ref="B38:F38"/>
    <mergeCell ref="B39:F39"/>
    <mergeCell ref="B40:F40"/>
    <mergeCell ref="B41:F41"/>
    <mergeCell ref="B42:F42"/>
    <mergeCell ref="B31:F31"/>
    <mergeCell ref="B32:F32"/>
    <mergeCell ref="B33:F33"/>
    <mergeCell ref="B34:F34"/>
    <mergeCell ref="B35:F35"/>
  </mergeCells>
  <phoneticPr fontId="6" type="noConversion"/>
  <printOptions horizontalCentered="1"/>
  <pageMargins left="0.75000000000000011" right="0.75000000000000011" top="1" bottom="1" header="0.5" footer="0.5"/>
  <pageSetup scale="76" orientation="portrait" horizontalDpi="4294967292" verticalDpi="4294967292" r:id="rId1"/>
  <headerFooter>
    <oddHeader xml:space="preserve">&amp;L&amp;"Cambria,Regular"&amp;18&amp;K000000TH Reforestación
&amp;11Nit: 900.525.504-9
</oddHeader>
    <oddFooter>&amp;R&amp;"Calibri,Regular"&amp;K000000&amp;G</oddFooter>
  </headerFooter>
  <legacyDrawingHF r:id="rId2"/>
  <extLst>
    <ext xmlns:mx="http://schemas.microsoft.com/office/mac/excel/2008/main" uri="{64002731-A6B0-56B0-2670-7721B7C09600}">
      <mx:PLV Mode="1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Adf_001</vt:lpstr>
      <vt:lpstr>Adf_002</vt:lpstr>
      <vt:lpstr>Adf_003</vt:lpstr>
      <vt:lpstr>Adf_004</vt:lpstr>
      <vt:lpstr>Adf_005</vt:lpstr>
      <vt:lpstr>Adf_006</vt:lpstr>
      <vt:lpstr>Adf_007</vt:lpstr>
      <vt:lpstr>Adf_008</vt:lpstr>
      <vt:lpstr>Adf_009</vt:lpstr>
      <vt:lpstr>Adf_010</vt:lpstr>
      <vt:lpstr>Adf_011</vt:lpstr>
      <vt:lpstr>Adf_012</vt:lpstr>
      <vt:lpstr>Adf_012_pg2</vt:lpstr>
      <vt:lpstr>Adf_013</vt:lpstr>
      <vt:lpstr>Adf_014</vt:lpstr>
      <vt:lpstr>Adf_014_pg2</vt:lpstr>
      <vt:lpstr>Adf_015</vt:lpstr>
      <vt:lpstr>Adf_016</vt:lpstr>
      <vt:lpstr>Adf_017</vt:lpstr>
      <vt:lpstr>Adf_018</vt:lpstr>
      <vt:lpstr>Adf_019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Plataforma FCTH</dc:title>
  <dc:creator>Sm Tschampel</dc:creator>
  <cp:lastModifiedBy>GR1NG0</cp:lastModifiedBy>
  <cp:lastPrinted>2014-11-13T00:39:23Z</cp:lastPrinted>
  <dcterms:created xsi:type="dcterms:W3CDTF">2014-06-19T20:38:32Z</dcterms:created>
  <dcterms:modified xsi:type="dcterms:W3CDTF">2014-11-20T20:21:19Z</dcterms:modified>
</cp:coreProperties>
</file>